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rfilez\FDC SAMAR\Desktop\"/>
    </mc:Choice>
  </mc:AlternateContent>
  <xr:revisionPtr revIDLastSave="0" documentId="13_ncr:1_{BD4CD2AF-11F0-4F96-AEAD-46841A1D6958}" xr6:coauthVersionLast="47" xr6:coauthVersionMax="47" xr10:uidLastSave="{00000000-0000-0000-0000-000000000000}"/>
  <bookViews>
    <workbookView xWindow="-120" yWindow="-120" windowWidth="20730" windowHeight="11310" tabRatio="500" activeTab="2" xr2:uid="{06B0D1A2-A256-4793-BA29-939CBE1A793D}"/>
  </bookViews>
  <sheets>
    <sheet name="Computation" sheetId="2" r:id="rId1"/>
    <sheet name="LineItems" sheetId="5" r:id="rId2"/>
    <sheet name="data" sheetId="4" r:id="rId3"/>
  </sheets>
  <definedNames>
    <definedName name="_xlnm._FilterDatabase" localSheetId="0" hidden="1">Computation!$A$1:$G$494</definedName>
    <definedName name="_xlnm._FilterDatabase" localSheetId="2" hidden="1">data!$A$1:$G$63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B31" i="2" l="1"/>
  <c r="D31" i="2"/>
  <c r="E31" i="2"/>
  <c r="F31" i="2"/>
  <c r="C31" i="2" s="1"/>
  <c r="B11" i="2"/>
  <c r="D11" i="2"/>
  <c r="E11" i="2"/>
  <c r="F11" i="2"/>
  <c r="C11" i="2" s="1"/>
  <c r="B43" i="2"/>
  <c r="D43" i="2"/>
  <c r="E43" i="2"/>
  <c r="F43" i="2"/>
  <c r="C43" i="2" s="1"/>
  <c r="B44" i="2"/>
  <c r="D44" i="2"/>
  <c r="E44" i="2"/>
  <c r="F44" i="2"/>
  <c r="C44" i="2" s="1"/>
  <c r="B24" i="2"/>
  <c r="D24" i="2"/>
  <c r="E24" i="2"/>
  <c r="F24" i="2"/>
  <c r="C24" i="2" s="1"/>
  <c r="B23" i="2"/>
  <c r="D23" i="2"/>
  <c r="E23" i="2"/>
  <c r="F23" i="2"/>
  <c r="C23" i="2" s="1"/>
  <c r="B55" i="2"/>
  <c r="D55" i="2"/>
  <c r="E55" i="2"/>
  <c r="F55" i="2"/>
  <c r="C55" i="2" s="1"/>
  <c r="B8" i="2"/>
  <c r="D8" i="2"/>
  <c r="E8" i="2"/>
  <c r="F8" i="2"/>
  <c r="C8" i="2" s="1"/>
  <c r="B6" i="2"/>
  <c r="D6" i="2"/>
  <c r="E6" i="2"/>
  <c r="F6" i="2"/>
  <c r="C6" i="2" s="1"/>
  <c r="B13" i="2"/>
  <c r="D13" i="2"/>
  <c r="E13" i="2"/>
  <c r="F13" i="2"/>
  <c r="C13" i="2" s="1"/>
  <c r="B40" i="2"/>
  <c r="D40" i="2"/>
  <c r="E40" i="2"/>
  <c r="F40" i="2"/>
  <c r="C40" i="2" s="1"/>
  <c r="B56" i="2"/>
  <c r="D56" i="2"/>
  <c r="E56" i="2"/>
  <c r="F56" i="2"/>
  <c r="C56" i="2" s="1"/>
  <c r="B48" i="2"/>
  <c r="D48" i="2"/>
  <c r="E48" i="2"/>
  <c r="F48" i="2"/>
  <c r="C48" i="2" s="1"/>
  <c r="B57" i="2"/>
  <c r="D57" i="2"/>
  <c r="E57" i="2"/>
  <c r="F57" i="2"/>
  <c r="C57" i="2" s="1"/>
  <c r="B3" i="2"/>
  <c r="D3" i="2"/>
  <c r="E3" i="2"/>
  <c r="F3" i="2"/>
  <c r="C3" i="2" s="1"/>
  <c r="B59" i="2"/>
  <c r="D59" i="2"/>
  <c r="E59" i="2"/>
  <c r="F59" i="2"/>
  <c r="C59" i="2" s="1"/>
  <c r="B343" i="2"/>
  <c r="D343" i="2"/>
  <c r="E343" i="2"/>
  <c r="F343" i="2"/>
  <c r="C343" i="2" s="1"/>
  <c r="B352" i="2"/>
  <c r="D352" i="2"/>
  <c r="E352" i="2"/>
  <c r="F352" i="2"/>
  <c r="C352" i="2" s="1"/>
  <c r="B298" i="2"/>
  <c r="D298" i="2"/>
  <c r="E298" i="2"/>
  <c r="F298" i="2"/>
  <c r="C298" i="2" s="1"/>
  <c r="B151" i="2"/>
  <c r="D151" i="2"/>
  <c r="E151" i="2"/>
  <c r="F151" i="2"/>
  <c r="C151" i="2" s="1"/>
  <c r="B191" i="2"/>
  <c r="D191" i="2"/>
  <c r="E191" i="2"/>
  <c r="F191" i="2"/>
  <c r="C191" i="2" s="1"/>
  <c r="B378" i="2"/>
  <c r="D378" i="2"/>
  <c r="E378" i="2"/>
  <c r="F378" i="2"/>
  <c r="B299" i="2"/>
  <c r="D299" i="2"/>
  <c r="E299" i="2"/>
  <c r="F299" i="2"/>
  <c r="C299" i="2" s="1"/>
  <c r="B249" i="2"/>
  <c r="D249" i="2"/>
  <c r="E249" i="2"/>
  <c r="F249" i="2"/>
  <c r="C249" i="2" s="1"/>
  <c r="B152" i="2"/>
  <c r="D152" i="2"/>
  <c r="E152" i="2"/>
  <c r="F152" i="2"/>
  <c r="C152" i="2" s="1"/>
  <c r="B192" i="2"/>
  <c r="D192" i="2"/>
  <c r="E192" i="2"/>
  <c r="F192" i="2"/>
  <c r="C192" i="2" s="1"/>
  <c r="B379" i="2"/>
  <c r="D379" i="2"/>
  <c r="E379" i="2"/>
  <c r="F379" i="2"/>
  <c r="C379" i="2" s="1"/>
  <c r="B300" i="2"/>
  <c r="D300" i="2"/>
  <c r="E300" i="2"/>
  <c r="F300" i="2"/>
  <c r="C300" i="2" s="1"/>
  <c r="B250" i="2"/>
  <c r="D250" i="2"/>
  <c r="E250" i="2"/>
  <c r="F250" i="2"/>
  <c r="C250" i="2" s="1"/>
  <c r="B153" i="2"/>
  <c r="D153" i="2"/>
  <c r="E153" i="2"/>
  <c r="F153" i="2"/>
  <c r="C153" i="2" s="1"/>
  <c r="B193" i="2"/>
  <c r="D193" i="2"/>
  <c r="E193" i="2"/>
  <c r="F193" i="2"/>
  <c r="C193" i="2" s="1"/>
  <c r="B69" i="2"/>
  <c r="D69" i="2"/>
  <c r="E69" i="2"/>
  <c r="F69" i="2"/>
  <c r="C69" i="2" s="1"/>
  <c r="B380" i="2"/>
  <c r="D380" i="2"/>
  <c r="E380" i="2"/>
  <c r="F380" i="2"/>
  <c r="C380" i="2" s="1"/>
  <c r="B117" i="2"/>
  <c r="D117" i="2"/>
  <c r="E117" i="2"/>
  <c r="F117" i="2"/>
  <c r="B301" i="2"/>
  <c r="D301" i="2"/>
  <c r="E301" i="2"/>
  <c r="F301" i="2"/>
  <c r="C301" i="2" s="1"/>
  <c r="B251" i="2"/>
  <c r="D251" i="2"/>
  <c r="E251" i="2"/>
  <c r="F251" i="2"/>
  <c r="C251" i="2" s="1"/>
  <c r="B154" i="2"/>
  <c r="D154" i="2"/>
  <c r="E154" i="2"/>
  <c r="F154" i="2"/>
  <c r="C154" i="2" s="1"/>
  <c r="B194" i="2"/>
  <c r="D194" i="2"/>
  <c r="E194" i="2"/>
  <c r="F194" i="2"/>
  <c r="C194" i="2" s="1"/>
  <c r="B70" i="2"/>
  <c r="D70" i="2"/>
  <c r="E70" i="2"/>
  <c r="F70" i="2"/>
  <c r="C70" i="2" s="1"/>
  <c r="B381" i="2"/>
  <c r="D381" i="2"/>
  <c r="E381" i="2"/>
  <c r="F381" i="2"/>
  <c r="C381" i="2" s="1"/>
  <c r="B118" i="2"/>
  <c r="D118" i="2"/>
  <c r="E118" i="2"/>
  <c r="F118" i="2"/>
  <c r="C118" i="2" s="1"/>
  <c r="B302" i="2"/>
  <c r="D302" i="2"/>
  <c r="E302" i="2"/>
  <c r="F302" i="2"/>
  <c r="C302" i="2" s="1"/>
  <c r="B252" i="2"/>
  <c r="D252" i="2"/>
  <c r="E252" i="2"/>
  <c r="F252" i="2"/>
  <c r="C252" i="2" s="1"/>
  <c r="B195" i="2"/>
  <c r="D195" i="2"/>
  <c r="E195" i="2"/>
  <c r="F195" i="2"/>
  <c r="C195" i="2" s="1"/>
  <c r="B92" i="2"/>
  <c r="D92" i="2"/>
  <c r="E92" i="2"/>
  <c r="F92" i="2"/>
  <c r="C92" i="2" s="1"/>
  <c r="B382" i="2"/>
  <c r="D382" i="2"/>
  <c r="E382" i="2"/>
  <c r="F382" i="2"/>
  <c r="B303" i="2"/>
  <c r="D303" i="2"/>
  <c r="E303" i="2"/>
  <c r="F303" i="2"/>
  <c r="C303" i="2" s="1"/>
  <c r="B253" i="2"/>
  <c r="D253" i="2"/>
  <c r="E253" i="2"/>
  <c r="F253" i="2"/>
  <c r="C253" i="2" s="1"/>
  <c r="B196" i="2"/>
  <c r="D196" i="2"/>
  <c r="E196" i="2"/>
  <c r="F196" i="2"/>
  <c r="C196" i="2" s="1"/>
  <c r="B93" i="2"/>
  <c r="D93" i="2"/>
  <c r="E93" i="2"/>
  <c r="F93" i="2"/>
  <c r="C93" i="2" s="1"/>
  <c r="B383" i="2"/>
  <c r="D383" i="2"/>
  <c r="E383" i="2"/>
  <c r="F383" i="2"/>
  <c r="C383" i="2" s="1"/>
  <c r="B304" i="2"/>
  <c r="D304" i="2"/>
  <c r="E304" i="2"/>
  <c r="F304" i="2"/>
  <c r="C304" i="2" s="1"/>
  <c r="B254" i="2"/>
  <c r="D254" i="2"/>
  <c r="E254" i="2"/>
  <c r="F254" i="2"/>
  <c r="C254" i="2" s="1"/>
  <c r="B197" i="2"/>
  <c r="D197" i="2"/>
  <c r="E197" i="2"/>
  <c r="F197" i="2"/>
  <c r="C197" i="2" s="1"/>
  <c r="B94" i="2"/>
  <c r="D94" i="2"/>
  <c r="E94" i="2"/>
  <c r="F94" i="2"/>
  <c r="C94" i="2" s="1"/>
  <c r="B384" i="2"/>
  <c r="D384" i="2"/>
  <c r="E384" i="2"/>
  <c r="F384" i="2"/>
  <c r="C384" i="2" s="1"/>
  <c r="B305" i="2"/>
  <c r="D305" i="2"/>
  <c r="E305" i="2"/>
  <c r="F305" i="2"/>
  <c r="C305" i="2" s="1"/>
  <c r="B255" i="2"/>
  <c r="D255" i="2"/>
  <c r="E255" i="2"/>
  <c r="F255" i="2"/>
  <c r="B306" i="2"/>
  <c r="D306" i="2"/>
  <c r="E306" i="2"/>
  <c r="F306" i="2"/>
  <c r="C306" i="2" s="1"/>
  <c r="B198" i="2"/>
  <c r="D198" i="2"/>
  <c r="E198" i="2"/>
  <c r="F198" i="2"/>
  <c r="C198" i="2" s="1"/>
  <c r="B144" i="2"/>
  <c r="D144" i="2"/>
  <c r="E144" i="2"/>
  <c r="F144" i="2"/>
  <c r="C144" i="2" s="1"/>
  <c r="B307" i="2"/>
  <c r="D307" i="2"/>
  <c r="E307" i="2"/>
  <c r="F307" i="2"/>
  <c r="C307" i="2" s="1"/>
  <c r="B366" i="2"/>
  <c r="D366" i="2"/>
  <c r="E366" i="2"/>
  <c r="F366" i="2"/>
  <c r="C366" i="2" s="1"/>
  <c r="B62" i="2"/>
  <c r="D62" i="2"/>
  <c r="E62" i="2"/>
  <c r="F62" i="2"/>
  <c r="C62" i="2" s="1"/>
  <c r="B364" i="2"/>
  <c r="D364" i="2"/>
  <c r="E364" i="2"/>
  <c r="F364" i="2"/>
  <c r="C364" i="2" s="1"/>
  <c r="B357" i="2"/>
  <c r="D357" i="2"/>
  <c r="E357" i="2"/>
  <c r="F357" i="2"/>
  <c r="C357" i="2" s="1"/>
  <c r="B360" i="2"/>
  <c r="D360" i="2"/>
  <c r="E360" i="2"/>
  <c r="F360" i="2"/>
  <c r="C360" i="2" s="1"/>
  <c r="B359" i="2"/>
  <c r="D359" i="2"/>
  <c r="E359" i="2"/>
  <c r="F359" i="2"/>
  <c r="C359" i="2" s="1"/>
  <c r="B358" i="2"/>
  <c r="D358" i="2"/>
  <c r="E358" i="2"/>
  <c r="F358" i="2"/>
  <c r="C358" i="2" s="1"/>
  <c r="B308" i="2"/>
  <c r="D308" i="2"/>
  <c r="E308" i="2"/>
  <c r="F308" i="2"/>
  <c r="B199" i="2"/>
  <c r="D199" i="2"/>
  <c r="E199" i="2"/>
  <c r="F199" i="2"/>
  <c r="C199" i="2" s="1"/>
  <c r="B375" i="2"/>
  <c r="D375" i="2"/>
  <c r="E375" i="2"/>
  <c r="F375" i="2"/>
  <c r="C375" i="2" s="1"/>
  <c r="B385" i="2"/>
  <c r="D385" i="2"/>
  <c r="E385" i="2"/>
  <c r="F385" i="2"/>
  <c r="C385" i="2" s="1"/>
  <c r="B493" i="2"/>
  <c r="D493" i="2"/>
  <c r="E493" i="2"/>
  <c r="F493" i="2"/>
  <c r="C493" i="2" s="1"/>
  <c r="B60" i="2"/>
  <c r="D60" i="2"/>
  <c r="E60" i="2"/>
  <c r="F60" i="2"/>
  <c r="C60" i="2" s="1"/>
  <c r="B353" i="2"/>
  <c r="D353" i="2"/>
  <c r="E353" i="2"/>
  <c r="F353" i="2"/>
  <c r="C353" i="2" s="1"/>
  <c r="B347" i="2"/>
  <c r="D347" i="2"/>
  <c r="E347" i="2"/>
  <c r="F347" i="2"/>
  <c r="C347" i="2" s="1"/>
  <c r="B155" i="2"/>
  <c r="D155" i="2"/>
  <c r="E155" i="2"/>
  <c r="F155" i="2"/>
  <c r="C155" i="2" s="1"/>
  <c r="B200" i="2"/>
  <c r="D200" i="2"/>
  <c r="E200" i="2"/>
  <c r="F200" i="2"/>
  <c r="C200" i="2" s="1"/>
  <c r="B386" i="2"/>
  <c r="D386" i="2"/>
  <c r="E386" i="2"/>
  <c r="F386" i="2"/>
  <c r="C386" i="2" s="1"/>
  <c r="B156" i="2"/>
  <c r="D156" i="2"/>
  <c r="E156" i="2"/>
  <c r="F156" i="2"/>
  <c r="C156" i="2" s="1"/>
  <c r="B201" i="2"/>
  <c r="D201" i="2"/>
  <c r="E201" i="2"/>
  <c r="F201" i="2"/>
  <c r="B71" i="2"/>
  <c r="D71" i="2"/>
  <c r="E71" i="2"/>
  <c r="F71" i="2"/>
  <c r="C71" i="2" s="1"/>
  <c r="B387" i="2"/>
  <c r="D387" i="2"/>
  <c r="E387" i="2"/>
  <c r="F387" i="2"/>
  <c r="C387" i="2" s="1"/>
  <c r="B119" i="2"/>
  <c r="D119" i="2"/>
  <c r="E119" i="2"/>
  <c r="F119" i="2"/>
  <c r="C119" i="2" s="1"/>
  <c r="B256" i="2"/>
  <c r="D256" i="2"/>
  <c r="E256" i="2"/>
  <c r="F256" i="2"/>
  <c r="C256" i="2" s="1"/>
  <c r="B388" i="2"/>
  <c r="D388" i="2"/>
  <c r="E388" i="2"/>
  <c r="F388" i="2"/>
  <c r="C388" i="2" s="1"/>
  <c r="B157" i="2"/>
  <c r="D157" i="2"/>
  <c r="E157" i="2"/>
  <c r="F157" i="2"/>
  <c r="C157" i="2" s="1"/>
  <c r="B202" i="2"/>
  <c r="D202" i="2"/>
  <c r="E202" i="2"/>
  <c r="F202" i="2"/>
  <c r="C202" i="2" s="1"/>
  <c r="B72" i="2"/>
  <c r="D72" i="2"/>
  <c r="E72" i="2"/>
  <c r="F72" i="2"/>
  <c r="C72" i="2" s="1"/>
  <c r="B389" i="2"/>
  <c r="D389" i="2"/>
  <c r="E389" i="2"/>
  <c r="F389" i="2"/>
  <c r="C389" i="2" s="1"/>
  <c r="B120" i="2"/>
  <c r="D120" i="2"/>
  <c r="E120" i="2"/>
  <c r="F120" i="2"/>
  <c r="C120" i="2" s="1"/>
  <c r="B257" i="2"/>
  <c r="D257" i="2"/>
  <c r="E257" i="2"/>
  <c r="F257" i="2"/>
  <c r="C257" i="2" s="1"/>
  <c r="B158" i="2"/>
  <c r="D158" i="2"/>
  <c r="E158" i="2"/>
  <c r="F158" i="2"/>
  <c r="B203" i="2"/>
  <c r="D203" i="2"/>
  <c r="E203" i="2"/>
  <c r="F203" i="2"/>
  <c r="C203" i="2" s="1"/>
  <c r="B73" i="2"/>
  <c r="D73" i="2"/>
  <c r="E73" i="2"/>
  <c r="F73" i="2"/>
  <c r="C73" i="2" s="1"/>
  <c r="B390" i="2"/>
  <c r="D390" i="2"/>
  <c r="E390" i="2"/>
  <c r="F390" i="2"/>
  <c r="C390" i="2" s="1"/>
  <c r="B121" i="2"/>
  <c r="D121" i="2"/>
  <c r="E121" i="2"/>
  <c r="F121" i="2"/>
  <c r="C121" i="2" s="1"/>
  <c r="B258" i="2"/>
  <c r="D258" i="2"/>
  <c r="E258" i="2"/>
  <c r="F258" i="2"/>
  <c r="C258" i="2" s="1"/>
  <c r="B159" i="2"/>
  <c r="D159" i="2"/>
  <c r="E159" i="2"/>
  <c r="F159" i="2"/>
  <c r="C159" i="2" s="1"/>
  <c r="B204" i="2"/>
  <c r="D204" i="2"/>
  <c r="E204" i="2"/>
  <c r="F204" i="2"/>
  <c r="C204" i="2" s="1"/>
  <c r="B74" i="2"/>
  <c r="D74" i="2"/>
  <c r="E74" i="2"/>
  <c r="F74" i="2"/>
  <c r="C74" i="2" s="1"/>
  <c r="B391" i="2"/>
  <c r="D391" i="2"/>
  <c r="E391" i="2"/>
  <c r="F391" i="2"/>
  <c r="C391" i="2" s="1"/>
  <c r="B122" i="2"/>
  <c r="D122" i="2"/>
  <c r="E122" i="2"/>
  <c r="F122" i="2"/>
  <c r="C122" i="2" s="1"/>
  <c r="B259" i="2"/>
  <c r="D259" i="2"/>
  <c r="E259" i="2"/>
  <c r="F259" i="2"/>
  <c r="C259" i="2" s="1"/>
  <c r="B160" i="2"/>
  <c r="D160" i="2"/>
  <c r="E160" i="2"/>
  <c r="F160" i="2"/>
  <c r="B205" i="2"/>
  <c r="D205" i="2"/>
  <c r="E205" i="2"/>
  <c r="F205" i="2"/>
  <c r="C205" i="2" s="1"/>
  <c r="B75" i="2"/>
  <c r="D75" i="2"/>
  <c r="E75" i="2"/>
  <c r="F75" i="2"/>
  <c r="C75" i="2" s="1"/>
  <c r="B392" i="2"/>
  <c r="D392" i="2"/>
  <c r="E392" i="2"/>
  <c r="F392" i="2"/>
  <c r="C392" i="2" s="1"/>
  <c r="B123" i="2"/>
  <c r="D123" i="2"/>
  <c r="E123" i="2"/>
  <c r="F123" i="2"/>
  <c r="C123" i="2" s="1"/>
  <c r="B260" i="2"/>
  <c r="D260" i="2"/>
  <c r="E260" i="2"/>
  <c r="F260" i="2"/>
  <c r="C260" i="2" s="1"/>
  <c r="B161" i="2"/>
  <c r="D161" i="2"/>
  <c r="E161" i="2"/>
  <c r="F161" i="2"/>
  <c r="C161" i="2" s="1"/>
  <c r="B206" i="2"/>
  <c r="D206" i="2"/>
  <c r="E206" i="2"/>
  <c r="F206" i="2"/>
  <c r="C206" i="2" s="1"/>
  <c r="B95" i="2"/>
  <c r="D95" i="2"/>
  <c r="E95" i="2"/>
  <c r="F95" i="2"/>
  <c r="C95" i="2" s="1"/>
  <c r="B393" i="2"/>
  <c r="D393" i="2"/>
  <c r="E393" i="2"/>
  <c r="F393" i="2"/>
  <c r="C393" i="2" s="1"/>
  <c r="B124" i="2"/>
  <c r="D124" i="2"/>
  <c r="E124" i="2"/>
  <c r="F124" i="2"/>
  <c r="C124" i="2" s="1"/>
  <c r="B261" i="2"/>
  <c r="D261" i="2"/>
  <c r="E261" i="2"/>
  <c r="F261" i="2"/>
  <c r="C261" i="2" s="1"/>
  <c r="B162" i="2"/>
  <c r="D162" i="2"/>
  <c r="E162" i="2"/>
  <c r="F162" i="2"/>
  <c r="B207" i="2"/>
  <c r="D207" i="2"/>
  <c r="E207" i="2"/>
  <c r="F207" i="2"/>
  <c r="C207" i="2" s="1"/>
  <c r="B76" i="2"/>
  <c r="D76" i="2"/>
  <c r="E76" i="2"/>
  <c r="F76" i="2"/>
  <c r="C76" i="2" s="1"/>
  <c r="B394" i="2"/>
  <c r="D394" i="2"/>
  <c r="E394" i="2"/>
  <c r="F394" i="2"/>
  <c r="C394" i="2" s="1"/>
  <c r="B125" i="2"/>
  <c r="D125" i="2"/>
  <c r="E125" i="2"/>
  <c r="F125" i="2"/>
  <c r="C125" i="2" s="1"/>
  <c r="B262" i="2"/>
  <c r="D262" i="2"/>
  <c r="E262" i="2"/>
  <c r="F262" i="2"/>
  <c r="C262" i="2" s="1"/>
  <c r="B395" i="2"/>
  <c r="D395" i="2"/>
  <c r="E395" i="2"/>
  <c r="F395" i="2"/>
  <c r="C395" i="2" s="1"/>
  <c r="B163" i="2"/>
  <c r="D163" i="2"/>
  <c r="E163" i="2"/>
  <c r="F163" i="2"/>
  <c r="C163" i="2" s="1"/>
  <c r="B208" i="2"/>
  <c r="D208" i="2"/>
  <c r="E208" i="2"/>
  <c r="F208" i="2"/>
  <c r="C208" i="2" s="1"/>
  <c r="B96" i="2"/>
  <c r="D96" i="2"/>
  <c r="E96" i="2"/>
  <c r="F96" i="2"/>
  <c r="C96" i="2" s="1"/>
  <c r="B396" i="2"/>
  <c r="D396" i="2"/>
  <c r="E396" i="2"/>
  <c r="F396" i="2"/>
  <c r="C396" i="2" s="1"/>
  <c r="B126" i="2"/>
  <c r="D126" i="2"/>
  <c r="E126" i="2"/>
  <c r="F126" i="2"/>
  <c r="C126" i="2" s="1"/>
  <c r="B263" i="2"/>
  <c r="D263" i="2"/>
  <c r="E263" i="2"/>
  <c r="F263" i="2"/>
  <c r="B367" i="2"/>
  <c r="D367" i="2"/>
  <c r="E367" i="2"/>
  <c r="F367" i="2"/>
  <c r="B397" i="2"/>
  <c r="D397" i="2"/>
  <c r="E397" i="2"/>
  <c r="F397" i="2"/>
  <c r="B488" i="2"/>
  <c r="D488" i="2"/>
  <c r="E488" i="2"/>
  <c r="F488" i="2"/>
  <c r="C488" i="2" s="1"/>
  <c r="B485" i="2"/>
  <c r="D485" i="2"/>
  <c r="E485" i="2"/>
  <c r="F485" i="2"/>
  <c r="B365" i="2"/>
  <c r="D365" i="2"/>
  <c r="E365" i="2"/>
  <c r="F365" i="2"/>
  <c r="C365" i="2" s="1"/>
  <c r="B297" i="2"/>
  <c r="D297" i="2"/>
  <c r="E297" i="2"/>
  <c r="F297" i="2"/>
  <c r="C297" i="2" s="1"/>
  <c r="B492" i="2"/>
  <c r="D492" i="2"/>
  <c r="E492" i="2"/>
  <c r="F492" i="2"/>
  <c r="C492" i="2" s="1"/>
  <c r="B361" i="2"/>
  <c r="D361" i="2"/>
  <c r="E361" i="2"/>
  <c r="F361" i="2"/>
  <c r="C361" i="2" s="1"/>
  <c r="B294" i="2"/>
  <c r="D294" i="2"/>
  <c r="E294" i="2"/>
  <c r="F294" i="2"/>
  <c r="C294" i="2" s="1"/>
  <c r="B348" i="2"/>
  <c r="D348" i="2"/>
  <c r="E348" i="2"/>
  <c r="F348" i="2"/>
  <c r="C348" i="2" s="1"/>
  <c r="B350" i="2"/>
  <c r="D350" i="2"/>
  <c r="E350" i="2"/>
  <c r="F350" i="2"/>
  <c r="C350" i="2" s="1"/>
  <c r="B355" i="2"/>
  <c r="D355" i="2"/>
  <c r="E355" i="2"/>
  <c r="F355" i="2"/>
  <c r="B484" i="2"/>
  <c r="D484" i="2"/>
  <c r="E484" i="2"/>
  <c r="F484" i="2"/>
  <c r="B494" i="2"/>
  <c r="D494" i="2"/>
  <c r="E494" i="2"/>
  <c r="F494" i="2"/>
  <c r="B489" i="2"/>
  <c r="D489" i="2"/>
  <c r="E489" i="2"/>
  <c r="F489" i="2"/>
  <c r="C489" i="2" s="1"/>
  <c r="B164" i="2"/>
  <c r="D164" i="2"/>
  <c r="E164" i="2"/>
  <c r="F164" i="2"/>
  <c r="C164" i="2" s="1"/>
  <c r="B209" i="2"/>
  <c r="D209" i="2"/>
  <c r="E209" i="2"/>
  <c r="F209" i="2"/>
  <c r="C209" i="2" s="1"/>
  <c r="B77" i="2"/>
  <c r="D77" i="2"/>
  <c r="E77" i="2"/>
  <c r="F77" i="2"/>
  <c r="C77" i="2" s="1"/>
  <c r="B398" i="2"/>
  <c r="D398" i="2"/>
  <c r="E398" i="2"/>
  <c r="F398" i="2"/>
  <c r="C398" i="2" s="1"/>
  <c r="B127" i="2"/>
  <c r="D127" i="2"/>
  <c r="E127" i="2"/>
  <c r="F127" i="2"/>
  <c r="C127" i="2" s="1"/>
  <c r="B309" i="2"/>
  <c r="D309" i="2"/>
  <c r="E309" i="2"/>
  <c r="F309" i="2"/>
  <c r="C309" i="2" s="1"/>
  <c r="B264" i="2"/>
  <c r="D264" i="2"/>
  <c r="E264" i="2"/>
  <c r="F264" i="2"/>
  <c r="C264" i="2" s="1"/>
  <c r="B165" i="2"/>
  <c r="D165" i="2"/>
  <c r="E165" i="2"/>
  <c r="F165" i="2"/>
  <c r="C165" i="2" s="1"/>
  <c r="B210" i="2"/>
  <c r="D210" i="2"/>
  <c r="E210" i="2"/>
  <c r="F210" i="2"/>
  <c r="B78" i="2"/>
  <c r="D78" i="2"/>
  <c r="E78" i="2"/>
  <c r="F78" i="2"/>
  <c r="B399" i="2"/>
  <c r="D399" i="2"/>
  <c r="E399" i="2"/>
  <c r="F399" i="2"/>
  <c r="B128" i="2"/>
  <c r="D128" i="2"/>
  <c r="E128" i="2"/>
  <c r="F128" i="2"/>
  <c r="C128" i="2" s="1"/>
  <c r="B310" i="2"/>
  <c r="D310" i="2"/>
  <c r="E310" i="2"/>
  <c r="F310" i="2"/>
  <c r="C310" i="2" s="1"/>
  <c r="B265" i="2"/>
  <c r="D265" i="2"/>
  <c r="E265" i="2"/>
  <c r="F265" i="2"/>
  <c r="C265" i="2" s="1"/>
  <c r="B211" i="2"/>
  <c r="D211" i="2"/>
  <c r="E211" i="2"/>
  <c r="F211" i="2"/>
  <c r="C211" i="2" s="1"/>
  <c r="B79" i="2"/>
  <c r="D79" i="2"/>
  <c r="E79" i="2"/>
  <c r="F79" i="2"/>
  <c r="C79" i="2" s="1"/>
  <c r="B400" i="2"/>
  <c r="D400" i="2"/>
  <c r="E400" i="2"/>
  <c r="F400" i="2"/>
  <c r="C400" i="2" s="1"/>
  <c r="B129" i="2"/>
  <c r="D129" i="2"/>
  <c r="E129" i="2"/>
  <c r="F129" i="2"/>
  <c r="C129" i="2" s="1"/>
  <c r="B311" i="2"/>
  <c r="D311" i="2"/>
  <c r="E311" i="2"/>
  <c r="F311" i="2"/>
  <c r="C311" i="2" s="1"/>
  <c r="B266" i="2"/>
  <c r="D266" i="2"/>
  <c r="E266" i="2"/>
  <c r="F266" i="2"/>
  <c r="C266" i="2" s="1"/>
  <c r="B312" i="2"/>
  <c r="D312" i="2"/>
  <c r="E312" i="2"/>
  <c r="F312" i="2"/>
  <c r="B212" i="2"/>
  <c r="D212" i="2"/>
  <c r="E212" i="2"/>
  <c r="F212" i="2"/>
  <c r="B80" i="2"/>
  <c r="D80" i="2"/>
  <c r="E80" i="2"/>
  <c r="F80" i="2"/>
  <c r="B401" i="2"/>
  <c r="D401" i="2"/>
  <c r="E401" i="2"/>
  <c r="F401" i="2"/>
  <c r="C401" i="2" s="1"/>
  <c r="B130" i="2"/>
  <c r="D130" i="2"/>
  <c r="E130" i="2"/>
  <c r="F130" i="2"/>
  <c r="C130" i="2" s="1"/>
  <c r="B313" i="2"/>
  <c r="D313" i="2"/>
  <c r="E313" i="2"/>
  <c r="F313" i="2"/>
  <c r="B267" i="2"/>
  <c r="D267" i="2"/>
  <c r="E267" i="2"/>
  <c r="F267" i="2"/>
  <c r="C267" i="2" s="1"/>
  <c r="B213" i="2"/>
  <c r="D213" i="2"/>
  <c r="E213" i="2"/>
  <c r="F213" i="2"/>
  <c r="B81" i="2"/>
  <c r="D81" i="2"/>
  <c r="E81" i="2"/>
  <c r="F81" i="2"/>
  <c r="G81" i="2" s="1"/>
  <c r="B402" i="2"/>
  <c r="D402" i="2"/>
  <c r="E402" i="2"/>
  <c r="F402" i="2"/>
  <c r="B131" i="2"/>
  <c r="D131" i="2"/>
  <c r="E131" i="2"/>
  <c r="F131" i="2"/>
  <c r="G131" i="2" s="1"/>
  <c r="B314" i="2"/>
  <c r="D314" i="2"/>
  <c r="E314" i="2"/>
  <c r="F314" i="2"/>
  <c r="B268" i="2"/>
  <c r="D268" i="2"/>
  <c r="E268" i="2"/>
  <c r="F268" i="2"/>
  <c r="C268" i="2" s="1"/>
  <c r="B214" i="2"/>
  <c r="D214" i="2"/>
  <c r="E214" i="2"/>
  <c r="F214" i="2"/>
  <c r="B82" i="2"/>
  <c r="D82" i="2"/>
  <c r="E82" i="2"/>
  <c r="F82" i="2"/>
  <c r="C82" i="2" s="1"/>
  <c r="B403" i="2"/>
  <c r="D403" i="2"/>
  <c r="E403" i="2"/>
  <c r="F403" i="2"/>
  <c r="B315" i="2"/>
  <c r="D315" i="2"/>
  <c r="E315" i="2"/>
  <c r="F315" i="2"/>
  <c r="C315" i="2" s="1"/>
  <c r="B269" i="2"/>
  <c r="D269" i="2"/>
  <c r="E269" i="2"/>
  <c r="F269" i="2"/>
  <c r="B404" i="2"/>
  <c r="D404" i="2"/>
  <c r="E404" i="2"/>
  <c r="F404" i="2"/>
  <c r="C404" i="2" s="1"/>
  <c r="B405" i="2"/>
  <c r="D405" i="2"/>
  <c r="E405" i="2"/>
  <c r="F405" i="2"/>
  <c r="B406" i="2"/>
  <c r="D406" i="2"/>
  <c r="E406" i="2"/>
  <c r="F406" i="2"/>
  <c r="G406" i="2" s="1"/>
  <c r="B407" i="2"/>
  <c r="D407" i="2"/>
  <c r="E407" i="2"/>
  <c r="F407" i="2"/>
  <c r="B408" i="2"/>
  <c r="D408" i="2"/>
  <c r="E408" i="2"/>
  <c r="F408" i="2"/>
  <c r="G408" i="2" s="1"/>
  <c r="B356" i="2"/>
  <c r="D356" i="2"/>
  <c r="E356" i="2"/>
  <c r="F356" i="2"/>
  <c r="B97" i="2"/>
  <c r="D97" i="2"/>
  <c r="E97" i="2"/>
  <c r="F97" i="2"/>
  <c r="C97" i="2" s="1"/>
  <c r="B187" i="2"/>
  <c r="D187" i="2"/>
  <c r="E187" i="2"/>
  <c r="F187" i="2"/>
  <c r="B66" i="2"/>
  <c r="D66" i="2"/>
  <c r="E66" i="2"/>
  <c r="F66" i="2"/>
  <c r="C66" i="2" s="1"/>
  <c r="B189" i="2"/>
  <c r="D189" i="2"/>
  <c r="E189" i="2"/>
  <c r="F189" i="2"/>
  <c r="B490" i="2"/>
  <c r="D490" i="2"/>
  <c r="E490" i="2"/>
  <c r="F490" i="2"/>
  <c r="C490" i="2" s="1"/>
  <c r="B316" i="2"/>
  <c r="D316" i="2"/>
  <c r="E316" i="2"/>
  <c r="F316" i="2"/>
  <c r="B351" i="2"/>
  <c r="D351" i="2"/>
  <c r="E351" i="2"/>
  <c r="F351" i="2"/>
  <c r="C351" i="2" s="1"/>
  <c r="B270" i="2"/>
  <c r="D270" i="2"/>
  <c r="E270" i="2"/>
  <c r="F270" i="2"/>
  <c r="B409" i="2"/>
  <c r="D409" i="2"/>
  <c r="E409" i="2"/>
  <c r="F409" i="2"/>
  <c r="G409" i="2" s="1"/>
  <c r="B410" i="2"/>
  <c r="D410" i="2"/>
  <c r="E410" i="2"/>
  <c r="F410" i="2"/>
  <c r="B411" i="2"/>
  <c r="D411" i="2"/>
  <c r="E411" i="2"/>
  <c r="F411" i="2"/>
  <c r="G411" i="2" s="1"/>
  <c r="B166" i="2"/>
  <c r="D166" i="2"/>
  <c r="E166" i="2"/>
  <c r="F166" i="2"/>
  <c r="B412" i="2"/>
  <c r="D412" i="2"/>
  <c r="E412" i="2"/>
  <c r="F412" i="2"/>
  <c r="C412" i="2" s="1"/>
  <c r="B167" i="2"/>
  <c r="D167" i="2"/>
  <c r="E167" i="2"/>
  <c r="F167" i="2"/>
  <c r="B413" i="2"/>
  <c r="D413" i="2"/>
  <c r="E413" i="2"/>
  <c r="F413" i="2"/>
  <c r="C413" i="2" s="1"/>
  <c r="B317" i="2"/>
  <c r="D317" i="2"/>
  <c r="E317" i="2"/>
  <c r="F317" i="2"/>
  <c r="B215" i="2"/>
  <c r="D215" i="2"/>
  <c r="E215" i="2"/>
  <c r="F215" i="2"/>
  <c r="C215" i="2" s="1"/>
  <c r="B98" i="2"/>
  <c r="D98" i="2"/>
  <c r="E98" i="2"/>
  <c r="F98" i="2"/>
  <c r="B414" i="2"/>
  <c r="D414" i="2"/>
  <c r="E414" i="2"/>
  <c r="F414" i="2"/>
  <c r="C414" i="2" s="1"/>
  <c r="B190" i="2"/>
  <c r="D190" i="2"/>
  <c r="E190" i="2"/>
  <c r="F190" i="2"/>
  <c r="B318" i="2"/>
  <c r="D318" i="2"/>
  <c r="E318" i="2"/>
  <c r="F318" i="2"/>
  <c r="G318" i="2" s="1"/>
  <c r="B319" i="2"/>
  <c r="D319" i="2"/>
  <c r="E319" i="2"/>
  <c r="F319" i="2"/>
  <c r="B168" i="2"/>
  <c r="D168" i="2"/>
  <c r="E168" i="2"/>
  <c r="F168" i="2"/>
  <c r="G168" i="2" s="1"/>
  <c r="B216" i="2"/>
  <c r="D216" i="2"/>
  <c r="E216" i="2"/>
  <c r="F216" i="2"/>
  <c r="B99" i="2"/>
  <c r="D99" i="2"/>
  <c r="E99" i="2"/>
  <c r="F99" i="2"/>
  <c r="C99" i="2" s="1"/>
  <c r="B415" i="2"/>
  <c r="D415" i="2"/>
  <c r="E415" i="2"/>
  <c r="F415" i="2"/>
  <c r="B271" i="2"/>
  <c r="D271" i="2"/>
  <c r="E271" i="2"/>
  <c r="F271" i="2"/>
  <c r="C271" i="2" s="1"/>
  <c r="B217" i="2"/>
  <c r="D217" i="2"/>
  <c r="E217" i="2"/>
  <c r="F217" i="2"/>
  <c r="B100" i="2"/>
  <c r="D100" i="2"/>
  <c r="E100" i="2"/>
  <c r="F100" i="2"/>
  <c r="C100" i="2" s="1"/>
  <c r="B416" i="2"/>
  <c r="D416" i="2"/>
  <c r="E416" i="2"/>
  <c r="F416" i="2"/>
  <c r="B320" i="2"/>
  <c r="D320" i="2"/>
  <c r="E320" i="2"/>
  <c r="F320" i="2"/>
  <c r="C320" i="2" s="1"/>
  <c r="B272" i="2"/>
  <c r="D272" i="2"/>
  <c r="E272" i="2"/>
  <c r="F272" i="2"/>
  <c r="B218" i="2"/>
  <c r="D218" i="2"/>
  <c r="E218" i="2"/>
  <c r="F218" i="2"/>
  <c r="G218" i="2" s="1"/>
  <c r="B145" i="2"/>
  <c r="D145" i="2"/>
  <c r="E145" i="2"/>
  <c r="F145" i="2"/>
  <c r="B321" i="2"/>
  <c r="D321" i="2"/>
  <c r="E321" i="2"/>
  <c r="F321" i="2"/>
  <c r="G321" i="2" s="1"/>
  <c r="B219" i="2"/>
  <c r="D219" i="2"/>
  <c r="E219" i="2"/>
  <c r="F219" i="2"/>
  <c r="B146" i="2"/>
  <c r="D146" i="2"/>
  <c r="E146" i="2"/>
  <c r="F146" i="2"/>
  <c r="C146" i="2" s="1"/>
  <c r="B417" i="2"/>
  <c r="D417" i="2"/>
  <c r="E417" i="2"/>
  <c r="F417" i="2"/>
  <c r="B418" i="2"/>
  <c r="D418" i="2"/>
  <c r="E418" i="2"/>
  <c r="F418" i="2"/>
  <c r="C418" i="2" s="1"/>
  <c r="B322" i="2"/>
  <c r="D322" i="2"/>
  <c r="E322" i="2"/>
  <c r="F322" i="2"/>
  <c r="C322" i="2" s="1"/>
  <c r="B220" i="2"/>
  <c r="D220" i="2"/>
  <c r="E220" i="2"/>
  <c r="F220" i="2"/>
  <c r="C220" i="2" s="1"/>
  <c r="B372" i="2"/>
  <c r="D372" i="2"/>
  <c r="E372" i="2"/>
  <c r="F372" i="2"/>
  <c r="C372" i="2" s="1"/>
  <c r="B419" i="2"/>
  <c r="D419" i="2"/>
  <c r="E419" i="2"/>
  <c r="F419" i="2"/>
  <c r="C419" i="2" s="1"/>
  <c r="B61" i="2"/>
  <c r="D61" i="2"/>
  <c r="E61" i="2"/>
  <c r="F61" i="2"/>
  <c r="C61" i="2" s="1"/>
  <c r="B184" i="2"/>
  <c r="D184" i="2"/>
  <c r="E184" i="2"/>
  <c r="F184" i="2"/>
  <c r="G184" i="2" s="1"/>
  <c r="B67" i="2"/>
  <c r="D67" i="2"/>
  <c r="E67" i="2"/>
  <c r="F67" i="2"/>
  <c r="C67" i="2" s="1"/>
  <c r="B296" i="2"/>
  <c r="D296" i="2"/>
  <c r="E296" i="2"/>
  <c r="F296" i="2"/>
  <c r="C296" i="2" s="1"/>
  <c r="B354" i="2"/>
  <c r="D354" i="2"/>
  <c r="E354" i="2"/>
  <c r="F354" i="2"/>
  <c r="C354" i="2" s="1"/>
  <c r="B147" i="2"/>
  <c r="D147" i="2"/>
  <c r="E147" i="2"/>
  <c r="F147" i="2"/>
  <c r="C147" i="2" s="1"/>
  <c r="B346" i="2"/>
  <c r="D346" i="2"/>
  <c r="E346" i="2"/>
  <c r="F346" i="2"/>
  <c r="C346" i="2" s="1"/>
  <c r="B349" i="2"/>
  <c r="D349" i="2"/>
  <c r="E349" i="2"/>
  <c r="F349" i="2"/>
  <c r="G349" i="2" s="1"/>
  <c r="B377" i="2"/>
  <c r="D377" i="2"/>
  <c r="E377" i="2"/>
  <c r="F377" i="2"/>
  <c r="C377" i="2" s="1"/>
  <c r="B345" i="2"/>
  <c r="D345" i="2"/>
  <c r="E345" i="2"/>
  <c r="F345" i="2"/>
  <c r="C345" i="2" s="1"/>
  <c r="B273" i="2"/>
  <c r="D273" i="2"/>
  <c r="E273" i="2"/>
  <c r="F273" i="2"/>
  <c r="C273" i="2" s="1"/>
  <c r="B221" i="2"/>
  <c r="D221" i="2"/>
  <c r="E221" i="2"/>
  <c r="F221" i="2"/>
  <c r="G221" i="2" s="1"/>
  <c r="B148" i="2"/>
  <c r="D148" i="2"/>
  <c r="E148" i="2"/>
  <c r="F148" i="2"/>
  <c r="C148" i="2" s="1"/>
  <c r="B323" i="2"/>
  <c r="D323" i="2"/>
  <c r="E323" i="2"/>
  <c r="F323" i="2"/>
  <c r="C323" i="2" s="1"/>
  <c r="B222" i="2"/>
  <c r="D222" i="2"/>
  <c r="E222" i="2"/>
  <c r="F222" i="2"/>
  <c r="C222" i="2" s="1"/>
  <c r="B149" i="2"/>
  <c r="D149" i="2"/>
  <c r="E149" i="2"/>
  <c r="F149" i="2"/>
  <c r="C149" i="2" s="1"/>
  <c r="B324" i="2"/>
  <c r="D324" i="2"/>
  <c r="E324" i="2"/>
  <c r="F324" i="2"/>
  <c r="C324" i="2" s="1"/>
  <c r="B325" i="2"/>
  <c r="D325" i="2"/>
  <c r="E325" i="2"/>
  <c r="F325" i="2"/>
  <c r="C325" i="2" s="1"/>
  <c r="B169" i="2"/>
  <c r="D169" i="2"/>
  <c r="E169" i="2"/>
  <c r="F169" i="2"/>
  <c r="C169" i="2" s="1"/>
  <c r="B223" i="2"/>
  <c r="D223" i="2"/>
  <c r="E223" i="2"/>
  <c r="F223" i="2"/>
  <c r="C223" i="2" s="1"/>
  <c r="B83" i="2"/>
  <c r="D83" i="2"/>
  <c r="E83" i="2"/>
  <c r="F83" i="2"/>
  <c r="C83" i="2" s="1"/>
  <c r="B420" i="2"/>
  <c r="D420" i="2"/>
  <c r="E420" i="2"/>
  <c r="F420" i="2"/>
  <c r="C420" i="2" s="1"/>
  <c r="B326" i="2"/>
  <c r="D326" i="2"/>
  <c r="E326" i="2"/>
  <c r="F326" i="2"/>
  <c r="C326" i="2" s="1"/>
  <c r="B274" i="2"/>
  <c r="D274" i="2"/>
  <c r="E274" i="2"/>
  <c r="F274" i="2"/>
  <c r="C274" i="2" s="1"/>
  <c r="B170" i="2"/>
  <c r="D170" i="2"/>
  <c r="E170" i="2"/>
  <c r="F170" i="2"/>
  <c r="C170" i="2" s="1"/>
  <c r="B224" i="2"/>
  <c r="D224" i="2"/>
  <c r="E224" i="2"/>
  <c r="F224" i="2"/>
  <c r="C224" i="2" s="1"/>
  <c r="B421" i="2"/>
  <c r="D421" i="2"/>
  <c r="E421" i="2"/>
  <c r="F421" i="2"/>
  <c r="C421" i="2" s="1"/>
  <c r="B171" i="2"/>
  <c r="D171" i="2"/>
  <c r="E171" i="2"/>
  <c r="F171" i="2"/>
  <c r="C171" i="2" s="1"/>
  <c r="B225" i="2"/>
  <c r="D225" i="2"/>
  <c r="E225" i="2"/>
  <c r="F225" i="2"/>
  <c r="C225" i="2" s="1"/>
  <c r="B84" i="2"/>
  <c r="D84" i="2"/>
  <c r="E84" i="2"/>
  <c r="F84" i="2"/>
  <c r="C84" i="2" s="1"/>
  <c r="B422" i="2"/>
  <c r="D422" i="2"/>
  <c r="E422" i="2"/>
  <c r="F422" i="2"/>
  <c r="C422" i="2" s="1"/>
  <c r="B132" i="2"/>
  <c r="D132" i="2"/>
  <c r="E132" i="2"/>
  <c r="F132" i="2"/>
  <c r="G132" i="2" s="1"/>
  <c r="B327" i="2"/>
  <c r="D327" i="2"/>
  <c r="E327" i="2"/>
  <c r="F327" i="2"/>
  <c r="C327" i="2" s="1"/>
  <c r="B275" i="2"/>
  <c r="D275" i="2"/>
  <c r="E275" i="2"/>
  <c r="F275" i="2"/>
  <c r="C275" i="2" s="1"/>
  <c r="B226" i="2"/>
  <c r="D226" i="2"/>
  <c r="E226" i="2"/>
  <c r="F226" i="2"/>
  <c r="C226" i="2" s="1"/>
  <c r="B101" i="2"/>
  <c r="D101" i="2"/>
  <c r="E101" i="2"/>
  <c r="F101" i="2"/>
  <c r="G101" i="2" s="1"/>
  <c r="B423" i="2"/>
  <c r="D423" i="2"/>
  <c r="E423" i="2"/>
  <c r="F423" i="2"/>
  <c r="C423" i="2" s="1"/>
  <c r="B328" i="2"/>
  <c r="D328" i="2"/>
  <c r="E328" i="2"/>
  <c r="F328" i="2"/>
  <c r="G328" i="2" s="1"/>
  <c r="B276" i="2"/>
  <c r="D276" i="2"/>
  <c r="E276" i="2"/>
  <c r="F276" i="2"/>
  <c r="C276" i="2" s="1"/>
  <c r="B329" i="2"/>
  <c r="D329" i="2"/>
  <c r="E329" i="2"/>
  <c r="F329" i="2"/>
  <c r="C329" i="2" s="1"/>
  <c r="B227" i="2"/>
  <c r="D227" i="2"/>
  <c r="E227" i="2"/>
  <c r="F227" i="2"/>
  <c r="C227" i="2" s="1"/>
  <c r="B102" i="2"/>
  <c r="D102" i="2"/>
  <c r="E102" i="2"/>
  <c r="F102" i="2"/>
  <c r="C102" i="2" s="1"/>
  <c r="B424" i="2"/>
  <c r="D424" i="2"/>
  <c r="E424" i="2"/>
  <c r="F424" i="2"/>
  <c r="C424" i="2" s="1"/>
  <c r="B330" i="2"/>
  <c r="D330" i="2"/>
  <c r="E330" i="2"/>
  <c r="F330" i="2"/>
  <c r="C330" i="2" s="1"/>
  <c r="B277" i="2"/>
  <c r="D277" i="2"/>
  <c r="E277" i="2"/>
  <c r="F277" i="2"/>
  <c r="C277" i="2" s="1"/>
  <c r="B228" i="2"/>
  <c r="D228" i="2"/>
  <c r="E228" i="2"/>
  <c r="F228" i="2"/>
  <c r="C228" i="2" s="1"/>
  <c r="B103" i="2"/>
  <c r="D103" i="2"/>
  <c r="E103" i="2"/>
  <c r="F103" i="2"/>
  <c r="C103" i="2" s="1"/>
  <c r="B425" i="2"/>
  <c r="D425" i="2"/>
  <c r="E425" i="2"/>
  <c r="F425" i="2"/>
  <c r="C425" i="2" s="1"/>
  <c r="B331" i="2"/>
  <c r="D331" i="2"/>
  <c r="E331" i="2"/>
  <c r="F331" i="2"/>
  <c r="C331" i="2" s="1"/>
  <c r="B278" i="2"/>
  <c r="D278" i="2"/>
  <c r="E278" i="2"/>
  <c r="F278" i="2"/>
  <c r="G278" i="2" s="1"/>
  <c r="B229" i="2"/>
  <c r="D229" i="2"/>
  <c r="E229" i="2"/>
  <c r="F229" i="2"/>
  <c r="C229" i="2" s="1"/>
  <c r="B104" i="2"/>
  <c r="D104" i="2"/>
  <c r="E104" i="2"/>
  <c r="F104" i="2"/>
  <c r="C104" i="2" s="1"/>
  <c r="B426" i="2"/>
  <c r="D426" i="2"/>
  <c r="E426" i="2"/>
  <c r="F426" i="2"/>
  <c r="C426" i="2" s="1"/>
  <c r="B332" i="2"/>
  <c r="D332" i="2"/>
  <c r="E332" i="2"/>
  <c r="F332" i="2"/>
  <c r="C332" i="2" s="1"/>
  <c r="B279" i="2"/>
  <c r="D279" i="2"/>
  <c r="E279" i="2"/>
  <c r="F279" i="2"/>
  <c r="C279" i="2" s="1"/>
  <c r="B230" i="2"/>
  <c r="D230" i="2"/>
  <c r="E230" i="2"/>
  <c r="F230" i="2"/>
  <c r="G230" i="2" s="1"/>
  <c r="B105" i="2"/>
  <c r="D105" i="2"/>
  <c r="E105" i="2"/>
  <c r="F105" i="2"/>
  <c r="C105" i="2" s="1"/>
  <c r="B427" i="2"/>
  <c r="D427" i="2"/>
  <c r="E427" i="2"/>
  <c r="F427" i="2"/>
  <c r="C427" i="2" s="1"/>
  <c r="B333" i="2"/>
  <c r="D333" i="2"/>
  <c r="E333" i="2"/>
  <c r="F333" i="2"/>
  <c r="C333" i="2" s="1"/>
  <c r="B280" i="2"/>
  <c r="D280" i="2"/>
  <c r="E280" i="2"/>
  <c r="F280" i="2"/>
  <c r="G280" i="2" s="1"/>
  <c r="B231" i="2"/>
  <c r="D231" i="2"/>
  <c r="E231" i="2"/>
  <c r="F231" i="2"/>
  <c r="C231" i="2" s="1"/>
  <c r="B106" i="2"/>
  <c r="D106" i="2"/>
  <c r="E106" i="2"/>
  <c r="F106" i="2"/>
  <c r="G106" i="2" s="1"/>
  <c r="B428" i="2"/>
  <c r="D428" i="2"/>
  <c r="E428" i="2"/>
  <c r="F428" i="2"/>
  <c r="C428" i="2" s="1"/>
  <c r="B334" i="2"/>
  <c r="D334" i="2"/>
  <c r="E334" i="2"/>
  <c r="F334" i="2"/>
  <c r="C334" i="2" s="1"/>
  <c r="B281" i="2"/>
  <c r="D281" i="2"/>
  <c r="E281" i="2"/>
  <c r="F281" i="2"/>
  <c r="C281" i="2" s="1"/>
  <c r="B172" i="2"/>
  <c r="D172" i="2"/>
  <c r="E172" i="2"/>
  <c r="F172" i="2"/>
  <c r="C172" i="2" s="1"/>
  <c r="B232" i="2"/>
  <c r="D232" i="2"/>
  <c r="E232" i="2"/>
  <c r="F232" i="2"/>
  <c r="C232" i="2" s="1"/>
  <c r="B107" i="2"/>
  <c r="D107" i="2"/>
  <c r="E107" i="2"/>
  <c r="F107" i="2"/>
  <c r="G107" i="2" s="1"/>
  <c r="B429" i="2"/>
  <c r="D429" i="2"/>
  <c r="E429" i="2"/>
  <c r="F429" i="2"/>
  <c r="C429" i="2" s="1"/>
  <c r="B133" i="2"/>
  <c r="D133" i="2"/>
  <c r="E133" i="2"/>
  <c r="F133" i="2"/>
  <c r="G133" i="2" s="1"/>
  <c r="B335" i="2"/>
  <c r="D335" i="2"/>
  <c r="E335" i="2"/>
  <c r="F335" i="2"/>
  <c r="C335" i="2" s="1"/>
  <c r="B282" i="2"/>
  <c r="D282" i="2"/>
  <c r="E282" i="2"/>
  <c r="F282" i="2"/>
  <c r="C282" i="2" s="1"/>
  <c r="B173" i="2"/>
  <c r="D173" i="2"/>
  <c r="E173" i="2"/>
  <c r="F173" i="2"/>
  <c r="C173" i="2" s="1"/>
  <c r="B233" i="2"/>
  <c r="D233" i="2"/>
  <c r="E233" i="2"/>
  <c r="F233" i="2"/>
  <c r="G233" i="2" s="1"/>
  <c r="B108" i="2"/>
  <c r="D108" i="2"/>
  <c r="E108" i="2"/>
  <c r="F108" i="2"/>
  <c r="C108" i="2" s="1"/>
  <c r="B344" i="2"/>
  <c r="D344" i="2"/>
  <c r="E344" i="2"/>
  <c r="F344" i="2"/>
  <c r="C344" i="2" s="1"/>
  <c r="B430" i="2"/>
  <c r="D430" i="2"/>
  <c r="E430" i="2"/>
  <c r="F430" i="2"/>
  <c r="C430" i="2" s="1"/>
  <c r="B134" i="2"/>
  <c r="D134" i="2"/>
  <c r="E134" i="2"/>
  <c r="F134" i="2"/>
  <c r="C134" i="2" s="1"/>
  <c r="B336" i="2"/>
  <c r="D336" i="2"/>
  <c r="E336" i="2"/>
  <c r="F336" i="2"/>
  <c r="C336" i="2" s="1"/>
  <c r="B283" i="2"/>
  <c r="D283" i="2"/>
  <c r="E283" i="2"/>
  <c r="F283" i="2"/>
  <c r="G283" i="2" s="1"/>
  <c r="B431" i="2"/>
  <c r="D431" i="2"/>
  <c r="E431" i="2"/>
  <c r="F431" i="2"/>
  <c r="G431" i="2" s="1"/>
  <c r="B432" i="2"/>
  <c r="D432" i="2"/>
  <c r="E432" i="2"/>
  <c r="F432" i="2"/>
  <c r="G432" i="2" s="1"/>
  <c r="B433" i="2"/>
  <c r="D433" i="2"/>
  <c r="E433" i="2"/>
  <c r="F433" i="2"/>
  <c r="G433" i="2" s="1"/>
  <c r="B434" i="2"/>
  <c r="D434" i="2"/>
  <c r="E434" i="2"/>
  <c r="F434" i="2"/>
  <c r="G434" i="2" s="1"/>
  <c r="B435" i="2"/>
  <c r="D435" i="2"/>
  <c r="E435" i="2"/>
  <c r="F435" i="2"/>
  <c r="G435" i="2" s="1"/>
  <c r="B436" i="2"/>
  <c r="D436" i="2"/>
  <c r="E436" i="2"/>
  <c r="F436" i="2"/>
  <c r="G436" i="2" s="1"/>
  <c r="B437" i="2"/>
  <c r="D437" i="2"/>
  <c r="E437" i="2"/>
  <c r="F437" i="2"/>
  <c r="G437" i="2" s="1"/>
  <c r="B174" i="2"/>
  <c r="D174" i="2"/>
  <c r="E174" i="2"/>
  <c r="F174" i="2"/>
  <c r="G174" i="2" s="1"/>
  <c r="B234" i="2"/>
  <c r="D234" i="2"/>
  <c r="E234" i="2"/>
  <c r="F234" i="2"/>
  <c r="G234" i="2" s="1"/>
  <c r="B438" i="2"/>
  <c r="D438" i="2"/>
  <c r="E438" i="2"/>
  <c r="F438" i="2"/>
  <c r="G438" i="2" s="1"/>
  <c r="B439" i="2"/>
  <c r="D439" i="2"/>
  <c r="E439" i="2"/>
  <c r="F439" i="2"/>
  <c r="G439" i="2" s="1"/>
  <c r="B440" i="2"/>
  <c r="D440" i="2"/>
  <c r="E440" i="2"/>
  <c r="F440" i="2"/>
  <c r="G440" i="2" s="1"/>
  <c r="B441" i="2"/>
  <c r="D441" i="2"/>
  <c r="E441" i="2"/>
  <c r="F441" i="2"/>
  <c r="G441" i="2" s="1"/>
  <c r="B442" i="2"/>
  <c r="D442" i="2"/>
  <c r="E442" i="2"/>
  <c r="F442" i="2"/>
  <c r="G442" i="2" s="1"/>
  <c r="B443" i="2"/>
  <c r="D443" i="2"/>
  <c r="E443" i="2"/>
  <c r="F443" i="2"/>
  <c r="G443" i="2" s="1"/>
  <c r="B64" i="2"/>
  <c r="D64" i="2"/>
  <c r="E64" i="2"/>
  <c r="F64" i="2"/>
  <c r="G64" i="2" s="1"/>
  <c r="B65" i="2"/>
  <c r="D65" i="2"/>
  <c r="E65" i="2"/>
  <c r="F65" i="2"/>
  <c r="G65" i="2" s="1"/>
  <c r="B63" i="2"/>
  <c r="D63" i="2"/>
  <c r="E63" i="2"/>
  <c r="F63" i="2"/>
  <c r="G63" i="2" s="1"/>
  <c r="B362" i="2"/>
  <c r="D362" i="2"/>
  <c r="E362" i="2"/>
  <c r="F362" i="2"/>
  <c r="C362" i="2" s="1"/>
  <c r="B68" i="2"/>
  <c r="D68" i="2"/>
  <c r="E68" i="2"/>
  <c r="F68" i="2"/>
  <c r="G68" i="2" s="1"/>
  <c r="B491" i="2"/>
  <c r="D491" i="2"/>
  <c r="E491" i="2"/>
  <c r="F491" i="2"/>
  <c r="C491" i="2" s="1"/>
  <c r="B444" i="2"/>
  <c r="D444" i="2"/>
  <c r="E444" i="2"/>
  <c r="F444" i="2"/>
  <c r="G444" i="2" s="1"/>
  <c r="B445" i="2"/>
  <c r="D445" i="2"/>
  <c r="E445" i="2"/>
  <c r="F445" i="2"/>
  <c r="C445" i="2" s="1"/>
  <c r="B446" i="2"/>
  <c r="D446" i="2"/>
  <c r="E446" i="2"/>
  <c r="F446" i="2"/>
  <c r="G446" i="2" s="1"/>
  <c r="B337" i="2"/>
  <c r="D337" i="2"/>
  <c r="E337" i="2"/>
  <c r="F337" i="2"/>
  <c r="C337" i="2" s="1"/>
  <c r="B284" i="2"/>
  <c r="D284" i="2"/>
  <c r="E284" i="2"/>
  <c r="F284" i="2"/>
  <c r="G284" i="2" s="1"/>
  <c r="B447" i="2"/>
  <c r="D447" i="2"/>
  <c r="E447" i="2"/>
  <c r="F447" i="2"/>
  <c r="C447" i="2" s="1"/>
  <c r="B448" i="2"/>
  <c r="D448" i="2"/>
  <c r="E448" i="2"/>
  <c r="F448" i="2"/>
  <c r="G448" i="2" s="1"/>
  <c r="B449" i="2"/>
  <c r="D449" i="2"/>
  <c r="E449" i="2"/>
  <c r="F449" i="2"/>
  <c r="C449" i="2" s="1"/>
  <c r="B450" i="2"/>
  <c r="D450" i="2"/>
  <c r="E450" i="2"/>
  <c r="F450" i="2"/>
  <c r="G450" i="2" s="1"/>
  <c r="B451" i="2"/>
  <c r="D451" i="2"/>
  <c r="E451" i="2"/>
  <c r="F451" i="2"/>
  <c r="C451" i="2" s="1"/>
  <c r="B452" i="2"/>
  <c r="D452" i="2"/>
  <c r="E452" i="2"/>
  <c r="F452" i="2"/>
  <c r="G452" i="2" s="1"/>
  <c r="B453" i="2"/>
  <c r="D453" i="2"/>
  <c r="E453" i="2"/>
  <c r="F453" i="2"/>
  <c r="C453" i="2" s="1"/>
  <c r="B454" i="2"/>
  <c r="D454" i="2"/>
  <c r="E454" i="2"/>
  <c r="F454" i="2"/>
  <c r="G454" i="2" s="1"/>
  <c r="B455" i="2"/>
  <c r="D455" i="2"/>
  <c r="E455" i="2"/>
  <c r="F455" i="2"/>
  <c r="C455" i="2" s="1"/>
  <c r="B456" i="2"/>
  <c r="D456" i="2"/>
  <c r="E456" i="2"/>
  <c r="F456" i="2"/>
  <c r="G456" i="2" s="1"/>
  <c r="B457" i="2"/>
  <c r="D457" i="2"/>
  <c r="E457" i="2"/>
  <c r="F457" i="2"/>
  <c r="C457" i="2" s="1"/>
  <c r="B458" i="2"/>
  <c r="D458" i="2"/>
  <c r="E458" i="2"/>
  <c r="F458" i="2"/>
  <c r="G458" i="2" s="1"/>
  <c r="B175" i="2"/>
  <c r="D175" i="2"/>
  <c r="E175" i="2"/>
  <c r="F175" i="2"/>
  <c r="C175" i="2" s="1"/>
  <c r="B363" i="2"/>
  <c r="D363" i="2"/>
  <c r="E363" i="2"/>
  <c r="F363" i="2"/>
  <c r="G363" i="2" s="1"/>
  <c r="B373" i="2"/>
  <c r="D373" i="2"/>
  <c r="E373" i="2"/>
  <c r="F373" i="2"/>
  <c r="C373" i="2" s="1"/>
  <c r="B459" i="2"/>
  <c r="D459" i="2"/>
  <c r="E459" i="2"/>
  <c r="F459" i="2"/>
  <c r="G459" i="2" s="1"/>
  <c r="B460" i="2"/>
  <c r="D460" i="2"/>
  <c r="E460" i="2"/>
  <c r="F460" i="2"/>
  <c r="C460" i="2" s="1"/>
  <c r="B461" i="2"/>
  <c r="D461" i="2"/>
  <c r="E461" i="2"/>
  <c r="F461" i="2"/>
  <c r="G461" i="2" s="1"/>
  <c r="B462" i="2"/>
  <c r="D462" i="2"/>
  <c r="E462" i="2"/>
  <c r="F462" i="2"/>
  <c r="C462" i="2" s="1"/>
  <c r="B463" i="2"/>
  <c r="D463" i="2"/>
  <c r="E463" i="2"/>
  <c r="F463" i="2"/>
  <c r="G463" i="2" s="1"/>
  <c r="B464" i="2"/>
  <c r="D464" i="2"/>
  <c r="E464" i="2"/>
  <c r="F464" i="2"/>
  <c r="C464" i="2" s="1"/>
  <c r="B338" i="2"/>
  <c r="D338" i="2"/>
  <c r="E338" i="2"/>
  <c r="F338" i="2"/>
  <c r="G338" i="2" s="1"/>
  <c r="B465" i="2"/>
  <c r="D465" i="2"/>
  <c r="E465" i="2"/>
  <c r="F465" i="2"/>
  <c r="C465" i="2" s="1"/>
  <c r="B235" i="2"/>
  <c r="D235" i="2"/>
  <c r="E235" i="2"/>
  <c r="F235" i="2"/>
  <c r="G235" i="2" s="1"/>
  <c r="B150" i="2"/>
  <c r="D150" i="2"/>
  <c r="E150" i="2"/>
  <c r="F150" i="2"/>
  <c r="C150" i="2" s="1"/>
  <c r="B466" i="2"/>
  <c r="D466" i="2"/>
  <c r="E466" i="2"/>
  <c r="F466" i="2"/>
  <c r="G466" i="2" s="1"/>
  <c r="B236" i="2"/>
  <c r="D236" i="2"/>
  <c r="E236" i="2"/>
  <c r="F236" i="2"/>
  <c r="C236" i="2" s="1"/>
  <c r="B467" i="2"/>
  <c r="D467" i="2"/>
  <c r="E467" i="2"/>
  <c r="F467" i="2"/>
  <c r="G467" i="2" s="1"/>
  <c r="B185" i="2"/>
  <c r="D185" i="2"/>
  <c r="E185" i="2"/>
  <c r="F185" i="2"/>
  <c r="C185" i="2" s="1"/>
  <c r="B135" i="2"/>
  <c r="D135" i="2"/>
  <c r="E135" i="2"/>
  <c r="F135" i="2"/>
  <c r="G135" i="2" s="1"/>
  <c r="B285" i="2"/>
  <c r="D285" i="2"/>
  <c r="E285" i="2"/>
  <c r="F285" i="2"/>
  <c r="C285" i="2" s="1"/>
  <c r="B468" i="2"/>
  <c r="D468" i="2"/>
  <c r="E468" i="2"/>
  <c r="F468" i="2"/>
  <c r="G468" i="2" s="1"/>
  <c r="B469" i="2"/>
  <c r="D469" i="2"/>
  <c r="E469" i="2"/>
  <c r="F469" i="2"/>
  <c r="C469" i="2" s="1"/>
  <c r="B470" i="2"/>
  <c r="D470" i="2"/>
  <c r="E470" i="2"/>
  <c r="F470" i="2"/>
  <c r="G470" i="2" s="1"/>
  <c r="B339" i="2"/>
  <c r="D339" i="2"/>
  <c r="E339" i="2"/>
  <c r="F339" i="2"/>
  <c r="C339" i="2" s="1"/>
  <c r="B340" i="2"/>
  <c r="D340" i="2"/>
  <c r="E340" i="2"/>
  <c r="F340" i="2"/>
  <c r="G340" i="2" s="1"/>
  <c r="B341" i="2"/>
  <c r="D341" i="2"/>
  <c r="E341" i="2"/>
  <c r="F341" i="2"/>
  <c r="C341" i="2" s="1"/>
  <c r="B237" i="2"/>
  <c r="D237" i="2"/>
  <c r="E237" i="2"/>
  <c r="F237" i="2"/>
  <c r="G237" i="2" s="1"/>
  <c r="B109" i="2"/>
  <c r="D109" i="2"/>
  <c r="E109" i="2"/>
  <c r="F109" i="2"/>
  <c r="C109" i="2" s="1"/>
  <c r="B471" i="2"/>
  <c r="D471" i="2"/>
  <c r="E471" i="2"/>
  <c r="F471" i="2"/>
  <c r="G471" i="2" s="1"/>
  <c r="B342" i="2"/>
  <c r="D342" i="2"/>
  <c r="E342" i="2"/>
  <c r="F342" i="2"/>
  <c r="C342" i="2" s="1"/>
  <c r="B238" i="2"/>
  <c r="D238" i="2"/>
  <c r="E238" i="2"/>
  <c r="F238" i="2"/>
  <c r="G238" i="2" s="1"/>
  <c r="B472" i="2"/>
  <c r="D472" i="2"/>
  <c r="E472" i="2"/>
  <c r="F472" i="2"/>
  <c r="C472" i="2" s="1"/>
  <c r="B136" i="2"/>
  <c r="D136" i="2"/>
  <c r="E136" i="2"/>
  <c r="F136" i="2"/>
  <c r="G136" i="2" s="1"/>
  <c r="B286" i="2"/>
  <c r="D286" i="2"/>
  <c r="E286" i="2"/>
  <c r="F286" i="2"/>
  <c r="C286" i="2" s="1"/>
  <c r="B368" i="2"/>
  <c r="D368" i="2"/>
  <c r="E368" i="2"/>
  <c r="F368" i="2"/>
  <c r="G368" i="2" s="1"/>
  <c r="B239" i="2"/>
  <c r="D239" i="2"/>
  <c r="E239" i="2"/>
  <c r="F239" i="2"/>
  <c r="C239" i="2" s="1"/>
  <c r="B473" i="2"/>
  <c r="D473" i="2"/>
  <c r="E473" i="2"/>
  <c r="F473" i="2"/>
  <c r="G473" i="2" s="1"/>
  <c r="B137" i="2"/>
  <c r="D137" i="2"/>
  <c r="E137" i="2"/>
  <c r="F137" i="2"/>
  <c r="C137" i="2" s="1"/>
  <c r="B287" i="2"/>
  <c r="D287" i="2"/>
  <c r="E287" i="2"/>
  <c r="F287" i="2"/>
  <c r="G287" i="2" s="1"/>
  <c r="B176" i="2"/>
  <c r="D176" i="2"/>
  <c r="E176" i="2"/>
  <c r="F176" i="2"/>
  <c r="C176" i="2" s="1"/>
  <c r="B240" i="2"/>
  <c r="D240" i="2"/>
  <c r="E240" i="2"/>
  <c r="F240" i="2"/>
  <c r="G240" i="2" s="1"/>
  <c r="B138" i="2"/>
  <c r="D138" i="2"/>
  <c r="E138" i="2"/>
  <c r="F138" i="2"/>
  <c r="C138" i="2" s="1"/>
  <c r="B288" i="2"/>
  <c r="D288" i="2"/>
  <c r="E288" i="2"/>
  <c r="F288" i="2"/>
  <c r="G288" i="2" s="1"/>
  <c r="B369" i="2"/>
  <c r="D369" i="2"/>
  <c r="E369" i="2"/>
  <c r="F369" i="2"/>
  <c r="C369" i="2" s="1"/>
  <c r="B241" i="2"/>
  <c r="D241" i="2"/>
  <c r="E241" i="2"/>
  <c r="F241" i="2"/>
  <c r="G241" i="2" s="1"/>
  <c r="B474" i="2"/>
  <c r="D474" i="2"/>
  <c r="E474" i="2"/>
  <c r="F474" i="2"/>
  <c r="C474" i="2" s="1"/>
  <c r="B242" i="2"/>
  <c r="D242" i="2"/>
  <c r="E242" i="2"/>
  <c r="F242" i="2"/>
  <c r="G242" i="2" s="1"/>
  <c r="B475" i="2"/>
  <c r="D475" i="2"/>
  <c r="E475" i="2"/>
  <c r="F475" i="2"/>
  <c r="C475" i="2" s="1"/>
  <c r="B289" i="2"/>
  <c r="D289" i="2"/>
  <c r="E289" i="2"/>
  <c r="F289" i="2"/>
  <c r="G289" i="2" s="1"/>
  <c r="B243" i="2"/>
  <c r="D243" i="2"/>
  <c r="E243" i="2"/>
  <c r="F243" i="2"/>
  <c r="C243" i="2" s="1"/>
  <c r="B476" i="2"/>
  <c r="D476" i="2"/>
  <c r="E476" i="2"/>
  <c r="F476" i="2"/>
  <c r="G476" i="2" s="1"/>
  <c r="B139" i="2"/>
  <c r="D139" i="2"/>
  <c r="E139" i="2"/>
  <c r="F139" i="2"/>
  <c r="C139" i="2" s="1"/>
  <c r="B290" i="2"/>
  <c r="D290" i="2"/>
  <c r="E290" i="2"/>
  <c r="F290" i="2"/>
  <c r="G290" i="2" s="1"/>
  <c r="B244" i="2"/>
  <c r="D244" i="2"/>
  <c r="E244" i="2"/>
  <c r="F244" i="2"/>
  <c r="C244" i="2" s="1"/>
  <c r="B85" i="2"/>
  <c r="D85" i="2"/>
  <c r="E85" i="2"/>
  <c r="F85" i="2"/>
  <c r="G85" i="2" s="1"/>
  <c r="B110" i="2"/>
  <c r="D110" i="2"/>
  <c r="E110" i="2"/>
  <c r="F110" i="2"/>
  <c r="C110" i="2" s="1"/>
  <c r="B477" i="2"/>
  <c r="D477" i="2"/>
  <c r="E477" i="2"/>
  <c r="F477" i="2"/>
  <c r="G477" i="2" s="1"/>
  <c r="B478" i="2"/>
  <c r="D478" i="2"/>
  <c r="E478" i="2"/>
  <c r="F478" i="2"/>
  <c r="C478" i="2" s="1"/>
  <c r="B370" i="2"/>
  <c r="D370" i="2"/>
  <c r="E370" i="2"/>
  <c r="F370" i="2"/>
  <c r="G370" i="2" s="1"/>
  <c r="B245" i="2"/>
  <c r="D245" i="2"/>
  <c r="E245" i="2"/>
  <c r="F245" i="2"/>
  <c r="C245" i="2" s="1"/>
  <c r="B86" i="2"/>
  <c r="D86" i="2"/>
  <c r="E86" i="2"/>
  <c r="F86" i="2"/>
  <c r="G86" i="2" s="1"/>
  <c r="B111" i="2"/>
  <c r="D111" i="2"/>
  <c r="E111" i="2"/>
  <c r="F111" i="2"/>
  <c r="C111" i="2" s="1"/>
  <c r="B291" i="2"/>
  <c r="D291" i="2"/>
  <c r="E291" i="2"/>
  <c r="F291" i="2"/>
  <c r="G291" i="2" s="1"/>
  <c r="B177" i="2"/>
  <c r="D177" i="2"/>
  <c r="E177" i="2"/>
  <c r="F177" i="2"/>
  <c r="C177" i="2" s="1"/>
  <c r="B246" i="2"/>
  <c r="D246" i="2"/>
  <c r="E246" i="2"/>
  <c r="F246" i="2"/>
  <c r="G246" i="2" s="1"/>
  <c r="B87" i="2"/>
  <c r="D87" i="2"/>
  <c r="E87" i="2"/>
  <c r="F87" i="2"/>
  <c r="C87" i="2" s="1"/>
  <c r="B112" i="2"/>
  <c r="D112" i="2"/>
  <c r="E112" i="2"/>
  <c r="F112" i="2"/>
  <c r="G112" i="2" s="1"/>
  <c r="B140" i="2"/>
  <c r="D140" i="2"/>
  <c r="E140" i="2"/>
  <c r="F140" i="2"/>
  <c r="C140" i="2" s="1"/>
  <c r="B292" i="2"/>
  <c r="D292" i="2"/>
  <c r="E292" i="2"/>
  <c r="F292" i="2"/>
  <c r="G292" i="2" s="1"/>
  <c r="B479" i="2"/>
  <c r="D479" i="2"/>
  <c r="E479" i="2"/>
  <c r="F479" i="2"/>
  <c r="C479" i="2" s="1"/>
  <c r="B178" i="2"/>
  <c r="D178" i="2"/>
  <c r="E178" i="2"/>
  <c r="F178" i="2"/>
  <c r="G178" i="2" s="1"/>
  <c r="B247" i="2"/>
  <c r="D247" i="2"/>
  <c r="E247" i="2"/>
  <c r="F247" i="2"/>
  <c r="C247" i="2" s="1"/>
  <c r="B88" i="2"/>
  <c r="D88" i="2"/>
  <c r="E88" i="2"/>
  <c r="F88" i="2"/>
  <c r="G88" i="2" s="1"/>
  <c r="B113" i="2"/>
  <c r="D113" i="2"/>
  <c r="E113" i="2"/>
  <c r="F113" i="2"/>
  <c r="C113" i="2" s="1"/>
  <c r="B141" i="2"/>
  <c r="D141" i="2"/>
  <c r="E141" i="2"/>
  <c r="F141" i="2"/>
  <c r="G141" i="2" s="1"/>
  <c r="B293" i="2"/>
  <c r="D293" i="2"/>
  <c r="E293" i="2"/>
  <c r="F293" i="2"/>
  <c r="C293" i="2" s="1"/>
  <c r="B179" i="2"/>
  <c r="D179" i="2"/>
  <c r="E179" i="2"/>
  <c r="F179" i="2"/>
  <c r="G179" i="2" s="1"/>
  <c r="B89" i="2"/>
  <c r="D89" i="2"/>
  <c r="E89" i="2"/>
  <c r="F89" i="2"/>
  <c r="C89" i="2" s="1"/>
  <c r="B114" i="2"/>
  <c r="D114" i="2"/>
  <c r="E114" i="2"/>
  <c r="F114" i="2"/>
  <c r="G114" i="2" s="1"/>
  <c r="B142" i="2"/>
  <c r="D142" i="2"/>
  <c r="E142" i="2"/>
  <c r="F142" i="2"/>
  <c r="C142" i="2" s="1"/>
  <c r="B180" i="2"/>
  <c r="D180" i="2"/>
  <c r="E180" i="2"/>
  <c r="F180" i="2"/>
  <c r="G180" i="2" s="1"/>
  <c r="B248" i="2"/>
  <c r="D248" i="2"/>
  <c r="E248" i="2"/>
  <c r="F248" i="2"/>
  <c r="C248" i="2" s="1"/>
  <c r="D91" i="2"/>
  <c r="D483" i="2"/>
  <c r="D482" i="2"/>
  <c r="E91" i="2"/>
  <c r="E483" i="2"/>
  <c r="E482" i="2"/>
  <c r="E4" i="2"/>
  <c r="E47" i="2"/>
  <c r="E487" i="2"/>
  <c r="E42" i="2"/>
  <c r="E90" i="2"/>
  <c r="E5" i="2"/>
  <c r="E38" i="2"/>
  <c r="E181" i="2"/>
  <c r="E143" i="2"/>
  <c r="E17" i="2"/>
  <c r="E183" i="2"/>
  <c r="E480" i="2"/>
  <c r="E371" i="2"/>
  <c r="E188" i="2"/>
  <c r="E116" i="2"/>
  <c r="E41" i="2"/>
  <c r="E27" i="2"/>
  <c r="E2" i="2"/>
  <c r="E115" i="2"/>
  <c r="E36" i="2"/>
  <c r="E376" i="2"/>
  <c r="E295" i="2"/>
  <c r="E54" i="2"/>
  <c r="E186" i="2"/>
  <c r="E49" i="2"/>
  <c r="E182" i="2"/>
  <c r="E39" i="2"/>
  <c r="E25" i="2"/>
  <c r="E46" i="2"/>
  <c r="E481" i="2"/>
  <c r="E22" i="2"/>
  <c r="E18" i="2"/>
  <c r="E374" i="2"/>
  <c r="E19" i="2"/>
  <c r="E486" i="2"/>
  <c r="E20" i="2"/>
  <c r="E21" i="2"/>
  <c r="E33" i="2"/>
  <c r="E15" i="2"/>
  <c r="E58" i="2"/>
  <c r="E45" i="2"/>
  <c r="E26" i="2"/>
  <c r="E34" i="2"/>
  <c r="E53" i="2"/>
  <c r="E7" i="2"/>
  <c r="E9" i="2"/>
  <c r="E10" i="2"/>
  <c r="E52" i="2"/>
  <c r="E51" i="2"/>
  <c r="E14" i="2"/>
  <c r="E16" i="2"/>
  <c r="E37" i="2"/>
  <c r="E32" i="2"/>
  <c r="E35" i="2"/>
  <c r="E50" i="2"/>
  <c r="E29" i="2"/>
  <c r="E28" i="2"/>
  <c r="E30" i="2"/>
  <c r="E12" i="2"/>
  <c r="B483" i="2"/>
  <c r="F483" i="2"/>
  <c r="C483" i="2" s="1"/>
  <c r="B482" i="2"/>
  <c r="F482" i="2"/>
  <c r="C482" i="2" s="1"/>
  <c r="B4" i="2"/>
  <c r="D4" i="2"/>
  <c r="F4" i="2"/>
  <c r="C4" i="2" s="1"/>
  <c r="B47" i="2"/>
  <c r="D47" i="2"/>
  <c r="F47" i="2"/>
  <c r="C47" i="2" s="1"/>
  <c r="B487" i="2"/>
  <c r="D487" i="2"/>
  <c r="F487" i="2"/>
  <c r="C487" i="2" s="1"/>
  <c r="B42" i="2"/>
  <c r="D42" i="2"/>
  <c r="F42" i="2"/>
  <c r="C42" i="2" s="1"/>
  <c r="B90" i="2"/>
  <c r="D90" i="2"/>
  <c r="F90" i="2"/>
  <c r="C90" i="2" s="1"/>
  <c r="B5" i="2"/>
  <c r="D5" i="2"/>
  <c r="F5" i="2"/>
  <c r="C5" i="2" s="1"/>
  <c r="B38" i="2"/>
  <c r="D38" i="2"/>
  <c r="F38" i="2"/>
  <c r="C38" i="2" s="1"/>
  <c r="B181" i="2"/>
  <c r="D181" i="2"/>
  <c r="F181" i="2"/>
  <c r="C181" i="2" s="1"/>
  <c r="B143" i="2"/>
  <c r="D143" i="2"/>
  <c r="F143" i="2"/>
  <c r="C143" i="2" s="1"/>
  <c r="B17" i="2"/>
  <c r="D17" i="2"/>
  <c r="F17" i="2"/>
  <c r="C17" i="2" s="1"/>
  <c r="B183" i="2"/>
  <c r="D183" i="2"/>
  <c r="F183" i="2"/>
  <c r="C183" i="2" s="1"/>
  <c r="B480" i="2"/>
  <c r="D480" i="2"/>
  <c r="F480" i="2"/>
  <c r="C480" i="2" s="1"/>
  <c r="B371" i="2"/>
  <c r="D371" i="2"/>
  <c r="F371" i="2"/>
  <c r="C371" i="2" s="1"/>
  <c r="B188" i="2"/>
  <c r="D188" i="2"/>
  <c r="F188" i="2"/>
  <c r="C188" i="2" s="1"/>
  <c r="B116" i="2"/>
  <c r="D116" i="2"/>
  <c r="F116" i="2"/>
  <c r="C116" i="2" s="1"/>
  <c r="B41" i="2"/>
  <c r="D41" i="2"/>
  <c r="F41" i="2"/>
  <c r="C41" i="2" s="1"/>
  <c r="B27" i="2"/>
  <c r="D27" i="2"/>
  <c r="F27" i="2"/>
  <c r="C27" i="2" s="1"/>
  <c r="B2" i="2"/>
  <c r="D2" i="2"/>
  <c r="F2" i="2"/>
  <c r="C2" i="2" s="1"/>
  <c r="B115" i="2"/>
  <c r="D115" i="2"/>
  <c r="F115" i="2"/>
  <c r="C115" i="2" s="1"/>
  <c r="B36" i="2"/>
  <c r="D36" i="2"/>
  <c r="F36" i="2"/>
  <c r="C36" i="2" s="1"/>
  <c r="B376" i="2"/>
  <c r="D376" i="2"/>
  <c r="F376" i="2"/>
  <c r="C376" i="2" s="1"/>
  <c r="B295" i="2"/>
  <c r="D295" i="2"/>
  <c r="F295" i="2"/>
  <c r="C295" i="2" s="1"/>
  <c r="B54" i="2"/>
  <c r="D54" i="2"/>
  <c r="F54" i="2"/>
  <c r="C54" i="2" s="1"/>
  <c r="B186" i="2"/>
  <c r="D186" i="2"/>
  <c r="F186" i="2"/>
  <c r="C186" i="2" s="1"/>
  <c r="B49" i="2"/>
  <c r="D49" i="2"/>
  <c r="F49" i="2"/>
  <c r="C49" i="2" s="1"/>
  <c r="B182" i="2"/>
  <c r="D182" i="2"/>
  <c r="F182" i="2"/>
  <c r="C182" i="2" s="1"/>
  <c r="B39" i="2"/>
  <c r="D39" i="2"/>
  <c r="F39" i="2"/>
  <c r="C39" i="2" s="1"/>
  <c r="B25" i="2"/>
  <c r="D25" i="2"/>
  <c r="F25" i="2"/>
  <c r="C25" i="2" s="1"/>
  <c r="B46" i="2"/>
  <c r="D46" i="2"/>
  <c r="F46" i="2"/>
  <c r="C46" i="2" s="1"/>
  <c r="B481" i="2"/>
  <c r="D481" i="2"/>
  <c r="F481" i="2"/>
  <c r="C481" i="2" s="1"/>
  <c r="B22" i="2"/>
  <c r="D22" i="2"/>
  <c r="F22" i="2"/>
  <c r="C22" i="2" s="1"/>
  <c r="B18" i="2"/>
  <c r="D18" i="2"/>
  <c r="F18" i="2"/>
  <c r="C18" i="2" s="1"/>
  <c r="B374" i="2"/>
  <c r="D374" i="2"/>
  <c r="F374" i="2"/>
  <c r="C374" i="2" s="1"/>
  <c r="B19" i="2"/>
  <c r="D19" i="2"/>
  <c r="F19" i="2"/>
  <c r="C19" i="2" s="1"/>
  <c r="B486" i="2"/>
  <c r="D486" i="2"/>
  <c r="F486" i="2"/>
  <c r="C486" i="2" s="1"/>
  <c r="B20" i="2"/>
  <c r="D20" i="2"/>
  <c r="F20" i="2"/>
  <c r="C20" i="2" s="1"/>
  <c r="B21" i="2"/>
  <c r="D21" i="2"/>
  <c r="F21" i="2"/>
  <c r="C21" i="2" s="1"/>
  <c r="B33" i="2"/>
  <c r="D33" i="2"/>
  <c r="F33" i="2"/>
  <c r="C33" i="2" s="1"/>
  <c r="B15" i="2"/>
  <c r="D15" i="2"/>
  <c r="F15" i="2"/>
  <c r="C15" i="2" s="1"/>
  <c r="B58" i="2"/>
  <c r="D58" i="2"/>
  <c r="F58" i="2"/>
  <c r="C58" i="2" s="1"/>
  <c r="B45" i="2"/>
  <c r="D45" i="2"/>
  <c r="F45" i="2"/>
  <c r="C45" i="2" s="1"/>
  <c r="B26" i="2"/>
  <c r="D26" i="2"/>
  <c r="F26" i="2"/>
  <c r="C26" i="2" s="1"/>
  <c r="B34" i="2"/>
  <c r="D34" i="2"/>
  <c r="F34" i="2"/>
  <c r="C34" i="2" s="1"/>
  <c r="B53" i="2"/>
  <c r="D53" i="2"/>
  <c r="F53" i="2"/>
  <c r="C53" i="2" s="1"/>
  <c r="B7" i="2"/>
  <c r="D7" i="2"/>
  <c r="F7" i="2"/>
  <c r="C7" i="2" s="1"/>
  <c r="B9" i="2"/>
  <c r="D9" i="2"/>
  <c r="F9" i="2"/>
  <c r="C9" i="2" s="1"/>
  <c r="B10" i="2"/>
  <c r="D10" i="2"/>
  <c r="F10" i="2"/>
  <c r="C10" i="2" s="1"/>
  <c r="B52" i="2"/>
  <c r="D52" i="2"/>
  <c r="F52" i="2"/>
  <c r="C52" i="2" s="1"/>
  <c r="B51" i="2"/>
  <c r="D51" i="2"/>
  <c r="F51" i="2"/>
  <c r="C51" i="2" s="1"/>
  <c r="B14" i="2"/>
  <c r="D14" i="2"/>
  <c r="F14" i="2"/>
  <c r="C14" i="2" s="1"/>
  <c r="B16" i="2"/>
  <c r="D16" i="2"/>
  <c r="F16" i="2"/>
  <c r="C16" i="2" s="1"/>
  <c r="B37" i="2"/>
  <c r="D37" i="2"/>
  <c r="F37" i="2"/>
  <c r="C37" i="2" s="1"/>
  <c r="B32" i="2"/>
  <c r="D32" i="2"/>
  <c r="F32" i="2"/>
  <c r="C32" i="2" s="1"/>
  <c r="B35" i="2"/>
  <c r="D35" i="2"/>
  <c r="F35" i="2"/>
  <c r="C35" i="2" s="1"/>
  <c r="B50" i="2"/>
  <c r="D50" i="2"/>
  <c r="F50" i="2"/>
  <c r="C50" i="2" s="1"/>
  <c r="B29" i="2"/>
  <c r="D29" i="2"/>
  <c r="F29" i="2"/>
  <c r="C29" i="2" s="1"/>
  <c r="B28" i="2"/>
  <c r="D28" i="2"/>
  <c r="F28" i="2"/>
  <c r="C28" i="2" s="1"/>
  <c r="B30" i="2"/>
  <c r="D30" i="2"/>
  <c r="F30" i="2"/>
  <c r="C30" i="2" s="1"/>
  <c r="B12" i="2"/>
  <c r="D12" i="2"/>
  <c r="F12" i="2"/>
  <c r="C12" i="2" s="1"/>
  <c r="F91" i="2"/>
  <c r="C91" i="2" s="1"/>
  <c r="B91" i="2"/>
  <c r="G211" i="2" l="1"/>
  <c r="G323" i="2"/>
  <c r="G347" i="2"/>
  <c r="G294" i="2"/>
  <c r="G296" i="2"/>
  <c r="G357" i="2"/>
  <c r="G128" i="2"/>
  <c r="G297" i="2"/>
  <c r="G332" i="2"/>
  <c r="G276" i="2"/>
  <c r="G259" i="2"/>
  <c r="G281" i="2"/>
  <c r="G322" i="2"/>
  <c r="G163" i="2"/>
  <c r="G92" i="2"/>
  <c r="G159" i="2"/>
  <c r="G250" i="2"/>
  <c r="C107" i="2"/>
  <c r="G222" i="2"/>
  <c r="G61" i="2"/>
  <c r="C65" i="2"/>
  <c r="G488" i="2"/>
  <c r="G206" i="2"/>
  <c r="G258" i="2"/>
  <c r="G427" i="2"/>
  <c r="G224" i="2"/>
  <c r="G395" i="2"/>
  <c r="G204" i="2"/>
  <c r="G60" i="2"/>
  <c r="G134" i="2"/>
  <c r="G365" i="2"/>
  <c r="G393" i="2"/>
  <c r="C431" i="2"/>
  <c r="G275" i="2"/>
  <c r="G354" i="2"/>
  <c r="G414" i="2"/>
  <c r="G302" i="2"/>
  <c r="G129" i="2"/>
  <c r="C133" i="2"/>
  <c r="G151" i="2"/>
  <c r="C234" i="2"/>
  <c r="C106" i="2"/>
  <c r="C328" i="2"/>
  <c r="G351" i="2"/>
  <c r="C131" i="2"/>
  <c r="G389" i="2"/>
  <c r="G430" i="2"/>
  <c r="G172" i="2"/>
  <c r="G102" i="2"/>
  <c r="G225" i="2"/>
  <c r="G83" i="2"/>
  <c r="G96" i="2"/>
  <c r="G200" i="2"/>
  <c r="G24" i="2"/>
  <c r="G384" i="2"/>
  <c r="G377" i="2"/>
  <c r="G220" i="2"/>
  <c r="G492" i="2"/>
  <c r="G126" i="2"/>
  <c r="G153" i="2"/>
  <c r="G13" i="2"/>
  <c r="G62" i="2"/>
  <c r="G104" i="2"/>
  <c r="C278" i="2"/>
  <c r="G227" i="2"/>
  <c r="G171" i="2"/>
  <c r="G489" i="2"/>
  <c r="G94" i="2"/>
  <c r="G69" i="2"/>
  <c r="G352" i="2"/>
  <c r="G105" i="2"/>
  <c r="G228" i="2"/>
  <c r="G327" i="2"/>
  <c r="G420" i="2"/>
  <c r="G265" i="2"/>
  <c r="G262" i="2"/>
  <c r="G391" i="2"/>
  <c r="G252" i="2"/>
  <c r="C441" i="2"/>
  <c r="C435" i="2"/>
  <c r="G429" i="2"/>
  <c r="G331" i="2"/>
  <c r="G147" i="2"/>
  <c r="G404" i="2"/>
  <c r="G77" i="2"/>
  <c r="G260" i="2"/>
  <c r="G388" i="2"/>
  <c r="G359" i="2"/>
  <c r="G156" i="2"/>
  <c r="G353" i="2"/>
  <c r="G366" i="2"/>
  <c r="G195" i="2"/>
  <c r="G193" i="2"/>
  <c r="G202" i="2"/>
  <c r="G305" i="2"/>
  <c r="G70" i="2"/>
  <c r="G55" i="2"/>
  <c r="C443" i="2"/>
  <c r="C437" i="2"/>
  <c r="G344" i="2"/>
  <c r="C233" i="2"/>
  <c r="G325" i="2"/>
  <c r="G267" i="2"/>
  <c r="G79" i="2"/>
  <c r="G208" i="2"/>
  <c r="G74" i="2"/>
  <c r="G155" i="2"/>
  <c r="G364" i="2"/>
  <c r="G304" i="2"/>
  <c r="G380" i="2"/>
  <c r="G11" i="2"/>
  <c r="G118" i="2"/>
  <c r="G300" i="2"/>
  <c r="G6" i="2"/>
  <c r="G173" i="2"/>
  <c r="G428" i="2"/>
  <c r="G426" i="2"/>
  <c r="G84" i="2"/>
  <c r="G345" i="2"/>
  <c r="G401" i="2"/>
  <c r="G209" i="2"/>
  <c r="G360" i="2"/>
  <c r="G197" i="2"/>
  <c r="G343" i="2"/>
  <c r="G44" i="2"/>
  <c r="G277" i="2"/>
  <c r="G170" i="2"/>
  <c r="G398" i="2"/>
  <c r="G350" i="2"/>
  <c r="G261" i="2"/>
  <c r="G161" i="2"/>
  <c r="G257" i="2"/>
  <c r="G157" i="2"/>
  <c r="G358" i="2"/>
  <c r="G23" i="2"/>
  <c r="C439" i="2"/>
  <c r="C433" i="2"/>
  <c r="G324" i="2"/>
  <c r="G320" i="2"/>
  <c r="G95" i="2"/>
  <c r="G72" i="2"/>
  <c r="G381" i="2"/>
  <c r="G379" i="2"/>
  <c r="G8" i="2"/>
  <c r="G254" i="2"/>
  <c r="G191" i="2"/>
  <c r="G59" i="2"/>
  <c r="G43" i="2"/>
  <c r="C184" i="2"/>
  <c r="C180" i="2"/>
  <c r="C114" i="2"/>
  <c r="C179" i="2"/>
  <c r="C141" i="2"/>
  <c r="C88" i="2"/>
  <c r="C178" i="2"/>
  <c r="C292" i="2"/>
  <c r="C112" i="2"/>
  <c r="C246" i="2"/>
  <c r="C291" i="2"/>
  <c r="C86" i="2"/>
  <c r="C370" i="2"/>
  <c r="C477" i="2"/>
  <c r="C85" i="2"/>
  <c r="C290" i="2"/>
  <c r="C476" i="2"/>
  <c r="C289" i="2"/>
  <c r="C242" i="2"/>
  <c r="C241" i="2"/>
  <c r="C288" i="2"/>
  <c r="C240" i="2"/>
  <c r="C287" i="2"/>
  <c r="C473" i="2"/>
  <c r="C368" i="2"/>
  <c r="C136" i="2"/>
  <c r="C238" i="2"/>
  <c r="C471" i="2"/>
  <c r="C237" i="2"/>
  <c r="C340" i="2"/>
  <c r="C470" i="2"/>
  <c r="C468" i="2"/>
  <c r="C135" i="2"/>
  <c r="C467" i="2"/>
  <c r="C466" i="2"/>
  <c r="C235" i="2"/>
  <c r="C338" i="2"/>
  <c r="C463" i="2"/>
  <c r="C461" i="2"/>
  <c r="C459" i="2"/>
  <c r="C363" i="2"/>
  <c r="C458" i="2"/>
  <c r="C456" i="2"/>
  <c r="C454" i="2"/>
  <c r="C452" i="2"/>
  <c r="C450" i="2"/>
  <c r="C448" i="2"/>
  <c r="C284" i="2"/>
  <c r="C446" i="2"/>
  <c r="C444" i="2"/>
  <c r="C68" i="2"/>
  <c r="C63" i="2"/>
  <c r="C64" i="2"/>
  <c r="C442" i="2"/>
  <c r="C440" i="2"/>
  <c r="C438" i="2"/>
  <c r="C174" i="2"/>
  <c r="C436" i="2"/>
  <c r="C434" i="2"/>
  <c r="C432" i="2"/>
  <c r="C283" i="2"/>
  <c r="G108" i="2"/>
  <c r="G334" i="2"/>
  <c r="C230" i="2"/>
  <c r="G229" i="2"/>
  <c r="G329" i="2"/>
  <c r="C132" i="2"/>
  <c r="G421" i="2"/>
  <c r="G149" i="2"/>
  <c r="C349" i="2"/>
  <c r="G67" i="2"/>
  <c r="G146" i="2"/>
  <c r="C218" i="2"/>
  <c r="G416" i="2"/>
  <c r="C416" i="2"/>
  <c r="G99" i="2"/>
  <c r="C318" i="2"/>
  <c r="G98" i="2"/>
  <c r="C98" i="2"/>
  <c r="G412" i="2"/>
  <c r="C409" i="2"/>
  <c r="G316" i="2"/>
  <c r="C316" i="2"/>
  <c r="G97" i="2"/>
  <c r="C406" i="2"/>
  <c r="G269" i="2"/>
  <c r="C269" i="2"/>
  <c r="G268" i="2"/>
  <c r="C81" i="2"/>
  <c r="G313" i="2"/>
  <c r="C313" i="2"/>
  <c r="G310" i="2"/>
  <c r="G127" i="2"/>
  <c r="C397" i="2"/>
  <c r="G397" i="2"/>
  <c r="G248" i="2"/>
  <c r="G142" i="2"/>
  <c r="G89" i="2"/>
  <c r="G293" i="2"/>
  <c r="G113" i="2"/>
  <c r="G247" i="2"/>
  <c r="G479" i="2"/>
  <c r="G140" i="2"/>
  <c r="G87" i="2"/>
  <c r="G177" i="2"/>
  <c r="G111" i="2"/>
  <c r="G245" i="2"/>
  <c r="G478" i="2"/>
  <c r="G110" i="2"/>
  <c r="G244" i="2"/>
  <c r="G139" i="2"/>
  <c r="G243" i="2"/>
  <c r="G475" i="2"/>
  <c r="G474" i="2"/>
  <c r="G369" i="2"/>
  <c r="G138" i="2"/>
  <c r="G176" i="2"/>
  <c r="G137" i="2"/>
  <c r="G239" i="2"/>
  <c r="G286" i="2"/>
  <c r="G472" i="2"/>
  <c r="G342" i="2"/>
  <c r="G109" i="2"/>
  <c r="G341" i="2"/>
  <c r="G339" i="2"/>
  <c r="G469" i="2"/>
  <c r="G285" i="2"/>
  <c r="G185" i="2"/>
  <c r="G236" i="2"/>
  <c r="G150" i="2"/>
  <c r="G465" i="2"/>
  <c r="G464" i="2"/>
  <c r="G462" i="2"/>
  <c r="G460" i="2"/>
  <c r="G373" i="2"/>
  <c r="G175" i="2"/>
  <c r="G457" i="2"/>
  <c r="G455" i="2"/>
  <c r="G453" i="2"/>
  <c r="G451" i="2"/>
  <c r="G449" i="2"/>
  <c r="G447" i="2"/>
  <c r="G337" i="2"/>
  <c r="G445" i="2"/>
  <c r="G491" i="2"/>
  <c r="G362" i="2"/>
  <c r="G336" i="2"/>
  <c r="C280" i="2"/>
  <c r="G279" i="2"/>
  <c r="G330" i="2"/>
  <c r="C101" i="2"/>
  <c r="G422" i="2"/>
  <c r="G223" i="2"/>
  <c r="C221" i="2"/>
  <c r="G346" i="2"/>
  <c r="G418" i="2"/>
  <c r="C321" i="2"/>
  <c r="G272" i="2"/>
  <c r="C272" i="2"/>
  <c r="G271" i="2"/>
  <c r="C168" i="2"/>
  <c r="G190" i="2"/>
  <c r="C190" i="2"/>
  <c r="G413" i="2"/>
  <c r="C411" i="2"/>
  <c r="G270" i="2"/>
  <c r="C270" i="2"/>
  <c r="G66" i="2"/>
  <c r="C408" i="2"/>
  <c r="G405" i="2"/>
  <c r="C405" i="2"/>
  <c r="G82" i="2"/>
  <c r="G213" i="2"/>
  <c r="C213" i="2"/>
  <c r="C80" i="2"/>
  <c r="G80" i="2"/>
  <c r="G266" i="2"/>
  <c r="C78" i="2"/>
  <c r="G78" i="2"/>
  <c r="C355" i="2"/>
  <c r="G355" i="2"/>
  <c r="C162" i="2"/>
  <c r="G162" i="2"/>
  <c r="C158" i="2"/>
  <c r="G158" i="2"/>
  <c r="C308" i="2"/>
  <c r="G308" i="2"/>
  <c r="G282" i="2"/>
  <c r="G333" i="2"/>
  <c r="G425" i="2"/>
  <c r="G226" i="2"/>
  <c r="G274" i="2"/>
  <c r="G273" i="2"/>
  <c r="G419" i="2"/>
  <c r="G145" i="2"/>
  <c r="C145" i="2"/>
  <c r="G100" i="2"/>
  <c r="G319" i="2"/>
  <c r="C319" i="2"/>
  <c r="G215" i="2"/>
  <c r="G410" i="2"/>
  <c r="C410" i="2"/>
  <c r="G490" i="2"/>
  <c r="G407" i="2"/>
  <c r="C407" i="2"/>
  <c r="G315" i="2"/>
  <c r="G402" i="2"/>
  <c r="C402" i="2"/>
  <c r="G130" i="2"/>
  <c r="G400" i="2"/>
  <c r="C485" i="2"/>
  <c r="G485" i="2"/>
  <c r="C382" i="2"/>
  <c r="G382" i="2"/>
  <c r="G231" i="2"/>
  <c r="G423" i="2"/>
  <c r="G148" i="2"/>
  <c r="C367" i="2"/>
  <c r="G367" i="2"/>
  <c r="G219" i="2"/>
  <c r="C219" i="2"/>
  <c r="G216" i="2"/>
  <c r="C216" i="2"/>
  <c r="G166" i="2"/>
  <c r="C166" i="2"/>
  <c r="G356" i="2"/>
  <c r="C356" i="2"/>
  <c r="G314" i="2"/>
  <c r="C314" i="2"/>
  <c r="C212" i="2"/>
  <c r="G212" i="2"/>
  <c r="C210" i="2"/>
  <c r="G210" i="2"/>
  <c r="C494" i="2"/>
  <c r="G494" i="2"/>
  <c r="C378" i="2"/>
  <c r="G378" i="2"/>
  <c r="G309" i="2"/>
  <c r="G232" i="2"/>
  <c r="G424" i="2"/>
  <c r="G169" i="2"/>
  <c r="G417" i="2"/>
  <c r="C417" i="2"/>
  <c r="G415" i="2"/>
  <c r="C415" i="2"/>
  <c r="G167" i="2"/>
  <c r="C167" i="2"/>
  <c r="G187" i="2"/>
  <c r="C187" i="2"/>
  <c r="G214" i="2"/>
  <c r="C214" i="2"/>
  <c r="G164" i="2"/>
  <c r="G361" i="2"/>
  <c r="C263" i="2"/>
  <c r="G263" i="2"/>
  <c r="C160" i="2"/>
  <c r="G160" i="2"/>
  <c r="C201" i="2"/>
  <c r="G201" i="2"/>
  <c r="G335" i="2"/>
  <c r="G103" i="2"/>
  <c r="G326" i="2"/>
  <c r="G372" i="2"/>
  <c r="G217" i="2"/>
  <c r="C217" i="2"/>
  <c r="G317" i="2"/>
  <c r="C317" i="2"/>
  <c r="G189" i="2"/>
  <c r="C189" i="2"/>
  <c r="G403" i="2"/>
  <c r="C403" i="2"/>
  <c r="C312" i="2"/>
  <c r="G312" i="2"/>
  <c r="C399" i="2"/>
  <c r="G399" i="2"/>
  <c r="G165" i="2"/>
  <c r="C484" i="2"/>
  <c r="G484" i="2"/>
  <c r="C255" i="2"/>
  <c r="G255" i="2"/>
  <c r="C117" i="2"/>
  <c r="G117" i="2"/>
  <c r="G76" i="2"/>
  <c r="G75" i="2"/>
  <c r="G73" i="2"/>
  <c r="G387" i="2"/>
  <c r="G375" i="2"/>
  <c r="G198" i="2"/>
  <c r="G253" i="2"/>
  <c r="G251" i="2"/>
  <c r="G249" i="2"/>
  <c r="G56" i="2"/>
  <c r="G298" i="2"/>
  <c r="G125" i="2"/>
  <c r="G123" i="2"/>
  <c r="G121" i="2"/>
  <c r="G256" i="2"/>
  <c r="G493" i="2"/>
  <c r="G307" i="2"/>
  <c r="G93" i="2"/>
  <c r="G194" i="2"/>
  <c r="G192" i="2"/>
  <c r="G57" i="2"/>
  <c r="G207" i="2"/>
  <c r="G205" i="2"/>
  <c r="G203" i="2"/>
  <c r="G71" i="2"/>
  <c r="G199" i="2"/>
  <c r="G306" i="2"/>
  <c r="G303" i="2"/>
  <c r="G301" i="2"/>
  <c r="G299" i="2"/>
  <c r="G40" i="2"/>
  <c r="G394" i="2"/>
  <c r="G392" i="2"/>
  <c r="G390" i="2"/>
  <c r="G119" i="2"/>
  <c r="G385" i="2"/>
  <c r="G144" i="2"/>
  <c r="G196" i="2"/>
  <c r="G154" i="2"/>
  <c r="G152" i="2"/>
  <c r="G48" i="2"/>
  <c r="G311" i="2"/>
  <c r="G264" i="2"/>
  <c r="G348" i="2"/>
  <c r="G396" i="2"/>
  <c r="G124" i="2"/>
  <c r="G122" i="2"/>
  <c r="G120" i="2"/>
  <c r="G386" i="2"/>
  <c r="G383" i="2"/>
  <c r="G3" i="2"/>
  <c r="G31" i="2"/>
  <c r="G483" i="2"/>
  <c r="G487" i="2"/>
  <c r="G482" i="2"/>
  <c r="G12" i="2"/>
  <c r="G28" i="2"/>
  <c r="G50" i="2"/>
  <c r="G32" i="2"/>
  <c r="G16" i="2"/>
  <c r="G52" i="2"/>
  <c r="G9" i="2"/>
  <c r="G53" i="2"/>
  <c r="G34" i="2"/>
  <c r="G45" i="2"/>
  <c r="G15" i="2"/>
  <c r="G21" i="2"/>
  <c r="G486" i="2"/>
  <c r="G19" i="2"/>
  <c r="G18" i="2"/>
  <c r="G481" i="2"/>
  <c r="G46" i="2"/>
  <c r="G39" i="2"/>
  <c r="G49" i="2"/>
  <c r="G54" i="2"/>
  <c r="G376" i="2"/>
  <c r="G36" i="2"/>
  <c r="G27" i="2"/>
  <c r="G116" i="2"/>
  <c r="G371" i="2"/>
  <c r="G183" i="2"/>
  <c r="G17" i="2"/>
  <c r="G143" i="2"/>
  <c r="G181" i="2"/>
  <c r="G38" i="2"/>
  <c r="G5" i="2"/>
  <c r="G30" i="2"/>
  <c r="G29" i="2"/>
  <c r="G35" i="2"/>
  <c r="G37" i="2"/>
  <c r="G14" i="2"/>
  <c r="G51" i="2"/>
  <c r="G10" i="2"/>
  <c r="G7" i="2"/>
  <c r="G26" i="2"/>
  <c r="G58" i="2"/>
  <c r="G33" i="2"/>
  <c r="G20" i="2"/>
  <c r="G374" i="2"/>
  <c r="G22" i="2"/>
  <c r="G25" i="2"/>
  <c r="G182" i="2"/>
  <c r="G186" i="2"/>
  <c r="G295" i="2"/>
  <c r="G115" i="2"/>
  <c r="G2" i="2"/>
  <c r="G41" i="2"/>
  <c r="G188" i="2"/>
  <c r="G480" i="2"/>
  <c r="G90" i="2"/>
  <c r="G42" i="2"/>
  <c r="G47" i="2"/>
  <c r="G4" i="2"/>
  <c r="G91" i="2"/>
</calcChain>
</file>

<file path=xl/sharedStrings.xml><?xml version="1.0" encoding="utf-8"?>
<sst xmlns="http://schemas.openxmlformats.org/spreadsheetml/2006/main" count="7439" uniqueCount="787">
  <si>
    <t>BB CHOCO 192x29g (NON-PROMO)</t>
  </si>
  <si>
    <t>BEAR BRAND JR 20x400g N3 PH</t>
  </si>
  <si>
    <t>BEARBRAND PMD 120x90g PH</t>
  </si>
  <si>
    <t>BEARBRAND PMD 12x1210g PH</t>
  </si>
  <si>
    <t>BEARBRAND PMD 14x680g PH</t>
  </si>
  <si>
    <t>BEARBRAND PMD 14x840g PH</t>
  </si>
  <si>
    <t>BEARBRAND PMD 192x33g PH</t>
  </si>
  <si>
    <t>BEARBRAND PMD 36x300g PH</t>
  </si>
  <si>
    <t>BEARBRAND PMD 72x135g PH</t>
  </si>
  <si>
    <t>Bonakid 1-3Years 18x350g PH</t>
  </si>
  <si>
    <t>Bonna 0-6 Months 24x150g PH</t>
  </si>
  <si>
    <t>COFFEE-MATE 20(48x5g)</t>
  </si>
  <si>
    <t>KKKRUNCHFlowPack24(12x15g)</t>
  </si>
  <si>
    <t>MILO MILK DRINK L 504x24g PH</t>
  </si>
  <si>
    <t>MILO TP 32(8x48g)LV L PH</t>
  </si>
  <si>
    <t>MMS 60(16x8g) N1 PH</t>
  </si>
  <si>
    <t>NESTOGEN 1-3 YEARS 20x340g</t>
  </si>
  <si>
    <t>STOCK_CODE</t>
  </si>
  <si>
    <t>DESCRIPTION</t>
  </si>
  <si>
    <t>PCS_1CS</t>
  </si>
  <si>
    <t>PCS_1IB</t>
  </si>
  <si>
    <t>PRICE_PER_PCS</t>
  </si>
  <si>
    <t>Bonakid 1-3Years 3x2.4kg PH</t>
  </si>
  <si>
    <t>Bonna 0-6 Months 18x350g PH</t>
  </si>
  <si>
    <t>CERELAC BL SoyaMxdF 24x250g</t>
  </si>
  <si>
    <t>CERELAC BLWheBanana24x250gN4PH</t>
  </si>
  <si>
    <t>CERELAC BLWheBanana40x120gN3PH</t>
  </si>
  <si>
    <t>NESTOGEN 0-6 MONTHS 20x340g</t>
  </si>
  <si>
    <t>NESTOGEN 6-12 MONTHS 20x340g</t>
  </si>
  <si>
    <t>MMS 100x55g N1 PH</t>
  </si>
  <si>
    <t>inputPCS</t>
  </si>
  <si>
    <t>BEARBRAND PMD 10x1500g PH</t>
  </si>
  <si>
    <t>BEARBRAND PMD 6x2000g PH</t>
  </si>
  <si>
    <t>BonakidPreSchool3+Box 3x2.4kg</t>
  </si>
  <si>
    <t>CERELAC BL RiceSoya 24x250g</t>
  </si>
  <si>
    <t>CERELAC BL SoyaMixVeg 40x120g</t>
  </si>
  <si>
    <t>COFFEE-MATE 24x400g</t>
  </si>
  <si>
    <t>MAGGI Oyster Sauce  12(12x30g)</t>
  </si>
  <si>
    <t>NESTLE All Purpose Crm24x250ml</t>
  </si>
  <si>
    <t>NESTLE FRESH MILK NZ 12x1L PH</t>
  </si>
  <si>
    <t>MILO RTD PAPStraw 32x180ml</t>
  </si>
  <si>
    <t>BEAR BRAND JR 10(2x350g)</t>
  </si>
  <si>
    <t>CERELAC BL RiceSoya 40x120g</t>
  </si>
  <si>
    <t>CERELAC BL SoyaMxdF 40x120g</t>
  </si>
  <si>
    <t>COFFEE-MATE 220g</t>
  </si>
  <si>
    <t>MILO MALT DRINK 14x600g PH</t>
  </si>
  <si>
    <t>S-26 0-6 Months Box 18x400g</t>
  </si>
  <si>
    <t>COFFEE-MATE 150g</t>
  </si>
  <si>
    <t>MMS 60(6x21g) N1 PH</t>
  </si>
  <si>
    <t>Invoice Code</t>
  </si>
  <si>
    <t>Outlet Code</t>
  </si>
  <si>
    <t>Outlet Name</t>
  </si>
  <si>
    <t>Sku Code</t>
  </si>
  <si>
    <t>Sku Name</t>
  </si>
  <si>
    <t>Sku Fulfillment Type</t>
  </si>
  <si>
    <t>Batch No.</t>
  </si>
  <si>
    <t>ProductQuantity</t>
  </si>
  <si>
    <t>InvoiceValue</t>
  </si>
  <si>
    <t>Salesman Code</t>
  </si>
  <si>
    <t>Channel</t>
  </si>
  <si>
    <t>Vehicle</t>
  </si>
  <si>
    <t>Plan Type</t>
  </si>
  <si>
    <t>Cases &amp; Pcs</t>
  </si>
  <si>
    <t>Partial cases</t>
  </si>
  <si>
    <t>Loose Pieces</t>
  </si>
  <si>
    <t>Full Cases</t>
  </si>
  <si>
    <t>NESTEA Lemon 144x19g PH</t>
  </si>
  <si>
    <t>NORMAL</t>
  </si>
  <si>
    <t/>
  </si>
  <si>
    <t>N44</t>
  </si>
  <si>
    <t>BTDT Salesman</t>
  </si>
  <si>
    <t>BTDT DYNAMIC-V1</t>
  </si>
  <si>
    <t>Normal</t>
  </si>
  <si>
    <t>NESCAFE CLSSCSticks 21(48x1.9g</t>
  </si>
  <si>
    <t>NESCAFE CreamyWhite TP 200x40g</t>
  </si>
  <si>
    <t>CHUCKIE PaperStraw 24x250ml</t>
  </si>
  <si>
    <t>CHUCKIE 36x180 ml PH</t>
  </si>
  <si>
    <t>N46</t>
  </si>
  <si>
    <t>N49</t>
  </si>
  <si>
    <t>CrmyWhtTP20(10x40gBuy10Sv20PR</t>
  </si>
  <si>
    <t>NESCAFECLASSIC21(48x1.9g)PROff</t>
  </si>
  <si>
    <t>BEARBRANDFortified300gBuy2Sv30</t>
  </si>
  <si>
    <t>NESCAFE Creamy White 20g</t>
  </si>
  <si>
    <t>MAGGIMAGICSARAP30(30x8g)PR20Yr</t>
  </si>
  <si>
    <t>NESC GOLD Intense 80(10x2g)</t>
  </si>
  <si>
    <t>NESTEA Apple 144x19g PH</t>
  </si>
  <si>
    <t>CrmyLatteTP20(10x40gBuy10Sv20P</t>
  </si>
  <si>
    <t>NESCAFE Creamylatte 240x20g PH</t>
  </si>
  <si>
    <t>CHUCKIE PaperStraw 60x110ml</t>
  </si>
  <si>
    <t>NESCAFE CLASSIC 60x40g</t>
  </si>
  <si>
    <t>NESCAFECLASSIC60x20gPRPriceOff</t>
  </si>
  <si>
    <t>F05</t>
  </si>
  <si>
    <t>S-26 PROMIL THREE 2x2.4kg PH</t>
  </si>
  <si>
    <t>NESCAFE Original TP 200x40g</t>
  </si>
  <si>
    <t>BBAP300g NewProduct Renovation</t>
  </si>
  <si>
    <t>NESCAFE CLASSIC RefPck 60x20g</t>
  </si>
  <si>
    <t>Nescafe Original Twin Pack 5+1</t>
  </si>
  <si>
    <t>Nescafe CreamyWhite TP 40g 5+1</t>
  </si>
  <si>
    <t>Buy NescCreamylatte TP 40g 4+1</t>
  </si>
  <si>
    <t>NESCOrglTPSgrFree 100(2x11.5g)</t>
  </si>
  <si>
    <t>Bonna 6-12 Months 24x150g PH</t>
  </si>
  <si>
    <t>NIDO 3+ PHANFB071 BIB 20x370g</t>
  </si>
  <si>
    <t>3 KK 15g, Get 1 Free KK 15g</t>
  </si>
  <si>
    <t>BEAR BRAND CHOCO 29g 10 at 99</t>
  </si>
  <si>
    <t>CHUCKIE6(10x110ml)PRBuy10Sve20</t>
  </si>
  <si>
    <t>CHUCKIE 6(6x180ml)BaonSaversPH</t>
  </si>
  <si>
    <t>Bear Brand Adult Plus 33g 6+2</t>
  </si>
  <si>
    <t>6+1 NESTEA LEMON 20G</t>
  </si>
  <si>
    <t>3NApple19g + 3NLemon19g for 99</t>
  </si>
  <si>
    <t>MILOChocoMlt42(12x24g)99.95SRP</t>
  </si>
  <si>
    <t>MAGGISAVORClassic(24x130ml)N1</t>
  </si>
  <si>
    <t>price_changed?</t>
  </si>
  <si>
    <t>CHUCKIE 10(6x110ml)BaonSavers</t>
  </si>
  <si>
    <t>OriginalTP20(10x40gBuy10Sv20PR</t>
  </si>
  <si>
    <t>NESCAFE CLASSIC 30x80g</t>
  </si>
  <si>
    <t>MAGGISAVORCalamansi(24x130ml)</t>
  </si>
  <si>
    <t>BB Ster W GinkgoBiloba32x200ml</t>
  </si>
  <si>
    <t>BBSterilized WGinseng32x200ml</t>
  </si>
  <si>
    <t>BonakidPre-School 3+Box4x1.6kg</t>
  </si>
  <si>
    <t>NIDOJR PHJNFB057-3 MP4(4X600g)</t>
  </si>
  <si>
    <t>NESTOGEN 1-3 YEARS 6x2kg</t>
  </si>
  <si>
    <t>NIDO JR PHJNFB057-3MP 6(4X500g</t>
  </si>
  <si>
    <t>NIDO FORTIGROW 8(4x500g)</t>
  </si>
  <si>
    <t>BBAP600g NewProduct Renovation</t>
  </si>
  <si>
    <t>BearBrandAdultPlus1kgDgram900g</t>
  </si>
  <si>
    <t>S-26 GOLD 2 Box 18x400g N3 PH</t>
  </si>
  <si>
    <t>S-26 6-12 Months Box 18x400g</t>
  </si>
  <si>
    <t>Bonna 6-12 Months 18x350g PH</t>
  </si>
  <si>
    <t>NIDOFORTIGROW 20x370g</t>
  </si>
  <si>
    <t>NIDO JR PHJNFB057-3 BIB20x400g</t>
  </si>
  <si>
    <t>Bonna 0-6 Months 4x1.2kg PH</t>
  </si>
  <si>
    <t>KKKRUNCH Choco Ringz 8(28x26g)</t>
  </si>
  <si>
    <t>NIDOJR PHJNFB057-3 MP10(2x375g</t>
  </si>
  <si>
    <t>BBS Helicap 12x1L PH</t>
  </si>
  <si>
    <t>NESTLE KOKO KRUNCH 18x170g</t>
  </si>
  <si>
    <t>NIDO 5+ PHANFB072 BIB 20x370g</t>
  </si>
  <si>
    <t>FRESH MILK NZ PRSM 24x250mL</t>
  </si>
  <si>
    <t>NIDO JR PHJNFB057-3 BIB36x150g</t>
  </si>
  <si>
    <t>NESTOGEN 0-6 MONTHS 36x135g</t>
  </si>
  <si>
    <t>BonakidPreSchoo 3+Box 4x1.2kg</t>
  </si>
  <si>
    <t>BONAMIL 6x1.2kg PH</t>
  </si>
  <si>
    <t>MILO Twin 32(8x48g) LV S PH</t>
  </si>
  <si>
    <t>NESCAFE Original12(20x20g)</t>
  </si>
  <si>
    <t>Bear Brand 680g Save P15</t>
  </si>
  <si>
    <t>NESCAFE Crmy White 12(20x20g)</t>
  </si>
  <si>
    <t>MILORTD6(10x110ml)Php15Off</t>
  </si>
  <si>
    <t>NESCAFE Original 520x20g PH</t>
  </si>
  <si>
    <t>BBI 135g at P50 na lang in SSS</t>
  </si>
  <si>
    <t>BEAR BRAND Fortified RTD 12x1L</t>
  </si>
  <si>
    <t>NESTEA Lemon 144x20g</t>
  </si>
  <si>
    <t>BB CHOCO Milk Drink 32x300g N5</t>
  </si>
  <si>
    <t>LIZA STORE</t>
  </si>
  <si>
    <t>ABLER BAKERY</t>
  </si>
  <si>
    <t>ABELLA STORE</t>
  </si>
  <si>
    <t>Buy3pcsBonna6-12 350gGET125OFF</t>
  </si>
  <si>
    <t>BRENDA STORE</t>
  </si>
  <si>
    <t>D001939416</t>
  </si>
  <si>
    <t>N490042</t>
  </si>
  <si>
    <t>JET STORE</t>
  </si>
  <si>
    <t>D001940067</t>
  </si>
  <si>
    <t>9FW0306</t>
  </si>
  <si>
    <t>MARICEL STORE</t>
  </si>
  <si>
    <t>D001939814</t>
  </si>
  <si>
    <t>9FW3124</t>
  </si>
  <si>
    <t>LITA STORE</t>
  </si>
  <si>
    <t>D001939813</t>
  </si>
  <si>
    <t>9FW3059</t>
  </si>
  <si>
    <t>VIRGIE STORE</t>
  </si>
  <si>
    <t>D001939812</t>
  </si>
  <si>
    <t>9FW0171</t>
  </si>
  <si>
    <t>M4 STORE</t>
  </si>
  <si>
    <t>D001939919</t>
  </si>
  <si>
    <t>9FW2049</t>
  </si>
  <si>
    <t>ELONA SARI SARI STORE</t>
  </si>
  <si>
    <t>D001939920</t>
  </si>
  <si>
    <t>9FW2020</t>
  </si>
  <si>
    <t>SHIELA SARI SARI STORE</t>
  </si>
  <si>
    <t>D001939921</t>
  </si>
  <si>
    <t>9FW2065</t>
  </si>
  <si>
    <t>ROSE CHERRY SARI SARI STORE</t>
  </si>
  <si>
    <t>D001940088</t>
  </si>
  <si>
    <t>9FW2050</t>
  </si>
  <si>
    <t>THERISITA STORE</t>
  </si>
  <si>
    <t>D001939511</t>
  </si>
  <si>
    <t>1022991</t>
  </si>
  <si>
    <t>DELAN STORE</t>
  </si>
  <si>
    <t>D001939598</t>
  </si>
  <si>
    <t>1022975</t>
  </si>
  <si>
    <t>LORNA STORE</t>
  </si>
  <si>
    <t>D001939599</t>
  </si>
  <si>
    <t>N490039</t>
  </si>
  <si>
    <t>MILET STORE</t>
  </si>
  <si>
    <t>D001939412</t>
  </si>
  <si>
    <t>N710034</t>
  </si>
  <si>
    <t>REX STORE</t>
  </si>
  <si>
    <t>D001939284</t>
  </si>
  <si>
    <t>D001939600</t>
  </si>
  <si>
    <t>N710049</t>
  </si>
  <si>
    <t>ROSELA STORE</t>
  </si>
  <si>
    <t>D001939625</t>
  </si>
  <si>
    <t>9FW2472</t>
  </si>
  <si>
    <t>ANGEL STORE</t>
  </si>
  <si>
    <t>D001939649</t>
  </si>
  <si>
    <t>MB00822</t>
  </si>
  <si>
    <t>ARTILE STORE</t>
  </si>
  <si>
    <t>D001939664</t>
  </si>
  <si>
    <t>9FW0166</t>
  </si>
  <si>
    <t>KHAZZHANDA STORE</t>
  </si>
  <si>
    <t>D001940248</t>
  </si>
  <si>
    <t>9FW2084</t>
  </si>
  <si>
    <t>LELIA STORE</t>
  </si>
  <si>
    <t>D001940303</t>
  </si>
  <si>
    <t>9FW2083</t>
  </si>
  <si>
    <t>4 BROTHER STORE</t>
  </si>
  <si>
    <t>D001940182</t>
  </si>
  <si>
    <t>9FW3140</t>
  </si>
  <si>
    <t>ENRIQUE STORE</t>
  </si>
  <si>
    <t>D001940152</t>
  </si>
  <si>
    <t>9FW1377</t>
  </si>
  <si>
    <t>LYDIK SNACKS</t>
  </si>
  <si>
    <t>D001939849</t>
  </si>
  <si>
    <t>9FW3281</t>
  </si>
  <si>
    <t>PILAR STORE</t>
  </si>
  <si>
    <t>D001939852</t>
  </si>
  <si>
    <t>9FW1863</t>
  </si>
  <si>
    <t>OVINA STORE</t>
  </si>
  <si>
    <t>D001938106</t>
  </si>
  <si>
    <t>1002174</t>
  </si>
  <si>
    <t>CABONCE STORE</t>
  </si>
  <si>
    <t>Bonakid Pre-School 3+ 18x350g</t>
  </si>
  <si>
    <t>D001939857</t>
  </si>
  <si>
    <t>9FW1478</t>
  </si>
  <si>
    <t>J&amp;J STORE</t>
  </si>
  <si>
    <t>D001938114</t>
  </si>
  <si>
    <t>9FW2480</t>
  </si>
  <si>
    <t>AIDA STORE</t>
  </si>
  <si>
    <t>BEARBRAND Pmd17 11x33g PR 10+1</t>
  </si>
  <si>
    <t>D001939429</t>
  </si>
  <si>
    <t>N710003</t>
  </si>
  <si>
    <t>BTDT DYNAMIC-V2</t>
  </si>
  <si>
    <t>D001939320</t>
  </si>
  <si>
    <t>9FW2350</t>
  </si>
  <si>
    <t>GRACIANA STORE</t>
  </si>
  <si>
    <t>D001940164</t>
  </si>
  <si>
    <t>9FW2055</t>
  </si>
  <si>
    <t>JOYLEN FRUITS AND VEGETABLES STORE</t>
  </si>
  <si>
    <t>D001939322</t>
  </si>
  <si>
    <t>1022990</t>
  </si>
  <si>
    <t>GRACENDY STORE</t>
  </si>
  <si>
    <t>D001939329</t>
  </si>
  <si>
    <t>N710029</t>
  </si>
  <si>
    <t>MACICEL STORE</t>
  </si>
  <si>
    <t>D001939324</t>
  </si>
  <si>
    <t>N710031</t>
  </si>
  <si>
    <t>CHA-CHA STORE</t>
  </si>
  <si>
    <t>D001939327</t>
  </si>
  <si>
    <t>9FW1385</t>
  </si>
  <si>
    <t>VIOLETA STORE</t>
  </si>
  <si>
    <t>D001939409</t>
  </si>
  <si>
    <t>9FW2217</t>
  </si>
  <si>
    <t>NANCY STORE</t>
  </si>
  <si>
    <t>D001939407</t>
  </si>
  <si>
    <t>1022987</t>
  </si>
  <si>
    <t>AMBIL STORE</t>
  </si>
  <si>
    <t>D001939411</t>
  </si>
  <si>
    <t>9FW1372</t>
  </si>
  <si>
    <t>TRINIDAN EATERY</t>
  </si>
  <si>
    <t>D001939414</t>
  </si>
  <si>
    <t>MB00823</t>
  </si>
  <si>
    <t>TELY STORE</t>
  </si>
  <si>
    <t>D001937095</t>
  </si>
  <si>
    <t>MB00977</t>
  </si>
  <si>
    <t>BAM PHARMACY</t>
  </si>
  <si>
    <t>BEAR BRAND Milk and Soy192x30g</t>
  </si>
  <si>
    <t>BEARBRAND ADULT Plus 24(8x33g)</t>
  </si>
  <si>
    <t>CHUCKIE 9(4x180ml) PH</t>
  </si>
  <si>
    <t>D001940070</t>
  </si>
  <si>
    <t>BBS Pap 32x200ml PH</t>
  </si>
  <si>
    <t>D001940069</t>
  </si>
  <si>
    <t>9FW0173</t>
  </si>
  <si>
    <t>47 VARIETY STORE</t>
  </si>
  <si>
    <t>D001940068</t>
  </si>
  <si>
    <t>MB00852</t>
  </si>
  <si>
    <t>ZK STORE</t>
  </si>
  <si>
    <t>D001940066</t>
  </si>
  <si>
    <t>9FW0172</t>
  </si>
  <si>
    <t>LEDIA STORE</t>
  </si>
  <si>
    <t>D001939811</t>
  </si>
  <si>
    <t>MB01043</t>
  </si>
  <si>
    <t>77 COOL MINIMART</t>
  </si>
  <si>
    <t>D001940064</t>
  </si>
  <si>
    <t>9FW3085</t>
  </si>
  <si>
    <t>LETECIA STORE</t>
  </si>
  <si>
    <t>D001940065</t>
  </si>
  <si>
    <t>9FW3083</t>
  </si>
  <si>
    <t>EUNICE STORE</t>
  </si>
  <si>
    <t>D001939842</t>
  </si>
  <si>
    <t>9FW1383</t>
  </si>
  <si>
    <t>CAHATIAN STORE</t>
  </si>
  <si>
    <t>D001940165</t>
  </si>
  <si>
    <t>9FW1390</t>
  </si>
  <si>
    <t>F&amp;M BAKERY</t>
  </si>
  <si>
    <t>D001940166</t>
  </si>
  <si>
    <t>MB01047</t>
  </si>
  <si>
    <t>MICHAEL STORE</t>
  </si>
  <si>
    <t>D001940167</t>
  </si>
  <si>
    <t>MB01042</t>
  </si>
  <si>
    <t>EDZ STORE</t>
  </si>
  <si>
    <t>D001940228</t>
  </si>
  <si>
    <t>MB01044</t>
  </si>
  <si>
    <t>RENALYN STORE</t>
  </si>
  <si>
    <t>D001940275</t>
  </si>
  <si>
    <t>9FW1864</t>
  </si>
  <si>
    <t>NINA STORE</t>
  </si>
  <si>
    <t>D001940322</t>
  </si>
  <si>
    <t>9FW1861</t>
  </si>
  <si>
    <t>NESCAFE Creamylatte TP 200x40g</t>
  </si>
  <si>
    <t>D001940231</t>
  </si>
  <si>
    <t>9FW2017</t>
  </si>
  <si>
    <t>LUCILA PALCE</t>
  </si>
  <si>
    <t>D001940146</t>
  </si>
  <si>
    <t>9FW2057</t>
  </si>
  <si>
    <t>SAM AND SAB SARI SARI STORE</t>
  </si>
  <si>
    <t>D001939833</t>
  </si>
  <si>
    <t>9FW0156</t>
  </si>
  <si>
    <t>MAC MAC STORE</t>
  </si>
  <si>
    <t>D001940327</t>
  </si>
  <si>
    <t>N600045</t>
  </si>
  <si>
    <t>JUAN MAREY STORE</t>
  </si>
  <si>
    <t>D001939443</t>
  </si>
  <si>
    <t>1030128</t>
  </si>
  <si>
    <t>JULIAN STORE</t>
  </si>
  <si>
    <t>D001940326</t>
  </si>
  <si>
    <t>N710056</t>
  </si>
  <si>
    <t>C &amp; G SARI-SARI STORE</t>
  </si>
  <si>
    <t>D001940311</t>
  </si>
  <si>
    <t>N600049</t>
  </si>
  <si>
    <t>ANACTA CONSUMER GOODS TRADING</t>
  </si>
  <si>
    <t>D001940077</t>
  </si>
  <si>
    <t>9FW1977</t>
  </si>
  <si>
    <t>JAS 4 U</t>
  </si>
  <si>
    <t>D001939417</t>
  </si>
  <si>
    <t>MB00820</t>
  </si>
  <si>
    <t>CLARITA STORE</t>
  </si>
  <si>
    <t>D001940151</t>
  </si>
  <si>
    <t>9FW0303</t>
  </si>
  <si>
    <t>LILIT STORE</t>
  </si>
  <si>
    <t>D001939826</t>
  </si>
  <si>
    <t>9FW0291</t>
  </si>
  <si>
    <t>PACITA STORE</t>
  </si>
  <si>
    <t>D001939688</t>
  </si>
  <si>
    <t>MB00662</t>
  </si>
  <si>
    <t>GINA STORE</t>
  </si>
  <si>
    <t>D001939696</t>
  </si>
  <si>
    <t>9FW2975</t>
  </si>
  <si>
    <t>NIDA STORE</t>
  </si>
  <si>
    <t>D001939691</t>
  </si>
  <si>
    <t>MB00869</t>
  </si>
  <si>
    <t>DEAN MARK STORE</t>
  </si>
  <si>
    <t>D001939690</t>
  </si>
  <si>
    <t>9FW2974</t>
  </si>
  <si>
    <t>TALI STORE</t>
  </si>
  <si>
    <t>D001939689</t>
  </si>
  <si>
    <t>9FW2978</t>
  </si>
  <si>
    <t>RAPIS STORE</t>
  </si>
  <si>
    <t>D001939652</t>
  </si>
  <si>
    <t>1020256</t>
  </si>
  <si>
    <t>TESSIE STORE</t>
  </si>
  <si>
    <t>D001939828</t>
  </si>
  <si>
    <t>1024029</t>
  </si>
  <si>
    <t>REBECCA STORE</t>
  </si>
  <si>
    <t>D001939851</t>
  </si>
  <si>
    <t>9FW1475</t>
  </si>
  <si>
    <t>RM BAKESHOP</t>
  </si>
  <si>
    <t>D001939848</t>
  </si>
  <si>
    <t>9FW3280</t>
  </si>
  <si>
    <t>SOLEDAD</t>
  </si>
  <si>
    <t>D001939853</t>
  </si>
  <si>
    <t>9FW3275</t>
  </si>
  <si>
    <t>NICOLE ANN STORE</t>
  </si>
  <si>
    <t>D001939855</t>
  </si>
  <si>
    <t>9FW3270</t>
  </si>
  <si>
    <t>D'CROMOCOL STOTE</t>
  </si>
  <si>
    <t>D001939823</t>
  </si>
  <si>
    <t>9FW3565</t>
  </si>
  <si>
    <t>LUCIA STORE</t>
  </si>
  <si>
    <t>D001939448</t>
  </si>
  <si>
    <t>9FW2021</t>
  </si>
  <si>
    <t>D001939651</t>
  </si>
  <si>
    <t>9FW1384</t>
  </si>
  <si>
    <t>KENJIE STORE 1</t>
  </si>
  <si>
    <t>D001940148</t>
  </si>
  <si>
    <t>9FW3132</t>
  </si>
  <si>
    <t>GLORIA STORE</t>
  </si>
  <si>
    <t>D001940150</t>
  </si>
  <si>
    <t>9FW1376</t>
  </si>
  <si>
    <t>BALANDO SNACK</t>
  </si>
  <si>
    <t>D001940095</t>
  </si>
  <si>
    <t>9FW3110</t>
  </si>
  <si>
    <t>ANACTA STORE</t>
  </si>
  <si>
    <t>D001940094</t>
  </si>
  <si>
    <t>9FW3088</t>
  </si>
  <si>
    <t>KONYONG STORE</t>
  </si>
  <si>
    <t>D001940093</t>
  </si>
  <si>
    <t>9FW1374</t>
  </si>
  <si>
    <t>MA. MERLITA STORE</t>
  </si>
  <si>
    <t>D001940149</t>
  </si>
  <si>
    <t>9FW3133</t>
  </si>
  <si>
    <t>JOSH STORE</t>
  </si>
  <si>
    <t>D001940181</t>
  </si>
  <si>
    <t>9FW0170</t>
  </si>
  <si>
    <t>JENIE STORE</t>
  </si>
  <si>
    <t>D001940071</t>
  </si>
  <si>
    <t>9FW3130</t>
  </si>
  <si>
    <t>MAXIMO STORE</t>
  </si>
  <si>
    <t>D001940072</t>
  </si>
  <si>
    <t>9FW1975</t>
  </si>
  <si>
    <t>RC GROCERY STORE</t>
  </si>
  <si>
    <t>D001940147</t>
  </si>
  <si>
    <t>9FW0153</t>
  </si>
  <si>
    <t>JHOLLIE ANNE STORE</t>
  </si>
  <si>
    <t>D001940145</t>
  </si>
  <si>
    <t>9FW0154</t>
  </si>
  <si>
    <t>WILSON STORE</t>
  </si>
  <si>
    <t>D001940230</t>
  </si>
  <si>
    <t>7FW0488</t>
  </si>
  <si>
    <t>THELMA STORE</t>
  </si>
  <si>
    <t>D001940229</t>
  </si>
  <si>
    <t>9FW0157</t>
  </si>
  <si>
    <t>DJ STORE</t>
  </si>
  <si>
    <t>D001940089</t>
  </si>
  <si>
    <t>9FW2062</t>
  </si>
  <si>
    <t>SOWE SARI SARI STORE</t>
  </si>
  <si>
    <t>D001939916</t>
  </si>
  <si>
    <t>MB00414</t>
  </si>
  <si>
    <t>GAVEN STORE</t>
  </si>
  <si>
    <t>D001939917</t>
  </si>
  <si>
    <t>9FW2047</t>
  </si>
  <si>
    <t>NENETA STORE</t>
  </si>
  <si>
    <t>D001939294</t>
  </si>
  <si>
    <t>D001939918</t>
  </si>
  <si>
    <t>9FW2019</t>
  </si>
  <si>
    <t>GODELOSAO CRISTINA SARRAGA</t>
  </si>
  <si>
    <t>D001939915</t>
  </si>
  <si>
    <t>9FW1860</t>
  </si>
  <si>
    <t>LEANDER STORE</t>
  </si>
  <si>
    <t>D001940090</t>
  </si>
  <si>
    <t>9FW2042</t>
  </si>
  <si>
    <t>BINJAMEN SARI SARI STORE</t>
  </si>
  <si>
    <t>D001939914</t>
  </si>
  <si>
    <t>9FW0155</t>
  </si>
  <si>
    <t>NESHIA STORE</t>
  </si>
  <si>
    <t>D001939832</t>
  </si>
  <si>
    <t>9FW2064</t>
  </si>
  <si>
    <t>G74 STORE</t>
  </si>
  <si>
    <t>D001939724</t>
  </si>
  <si>
    <t>9FW0160</t>
  </si>
  <si>
    <t>D001939723</t>
  </si>
  <si>
    <t>1020396</t>
  </si>
  <si>
    <t>ALMA STORE</t>
  </si>
  <si>
    <t>D001939722</t>
  </si>
  <si>
    <t>7FW0467</t>
  </si>
  <si>
    <t>D' AMOS STORE</t>
  </si>
  <si>
    <t>D001939720</t>
  </si>
  <si>
    <t>1024009</t>
  </si>
  <si>
    <t>D001939721</t>
  </si>
  <si>
    <t>9FW0159</t>
  </si>
  <si>
    <t>AMOS STORE</t>
  </si>
  <si>
    <t>D001939719</t>
  </si>
  <si>
    <t>7FW0487</t>
  </si>
  <si>
    <t>LOLET STORE</t>
  </si>
  <si>
    <t>D001939576</t>
  </si>
  <si>
    <t>MB00435</t>
  </si>
  <si>
    <t>NENITA GUARINO</t>
  </si>
  <si>
    <t>D001940335</t>
  </si>
  <si>
    <t>9FW1488</t>
  </si>
  <si>
    <t>MANUEL SNACKS</t>
  </si>
  <si>
    <t>D001939645</t>
  </si>
  <si>
    <t>9FW0304</t>
  </si>
  <si>
    <t>BC MART STORE</t>
  </si>
  <si>
    <t>D001939655</t>
  </si>
  <si>
    <t>1024026</t>
  </si>
  <si>
    <t>JUANITA BEATO</t>
  </si>
  <si>
    <t>D001939574</t>
  </si>
  <si>
    <t>9FW2045</t>
  </si>
  <si>
    <t>JONALYN SARI SARI STORE</t>
  </si>
  <si>
    <t>D001939575</t>
  </si>
  <si>
    <t>9FW1490</t>
  </si>
  <si>
    <t>SWEET SNACKS</t>
  </si>
  <si>
    <t>D001940333</t>
  </si>
  <si>
    <t>9FW1489</t>
  </si>
  <si>
    <t>MARI CRIS COMBI</t>
  </si>
  <si>
    <t>D001940334</t>
  </si>
  <si>
    <t>9FW0305</t>
  </si>
  <si>
    <t>AIDE STORE</t>
  </si>
  <si>
    <t>D001935864</t>
  </si>
  <si>
    <t>9FW1866</t>
  </si>
  <si>
    <t>BORATA STORE</t>
  </si>
  <si>
    <t>D001939522</t>
  </si>
  <si>
    <t>9FW2044</t>
  </si>
  <si>
    <t>GEMMA STORE</t>
  </si>
  <si>
    <t>D001938128</t>
  </si>
  <si>
    <t>9FW0158</t>
  </si>
  <si>
    <t>MARLYN STORE</t>
  </si>
  <si>
    <t>D001939384</t>
  </si>
  <si>
    <t>D001940336</t>
  </si>
  <si>
    <t>MB01046</t>
  </si>
  <si>
    <t>ANGKAY STORE</t>
  </si>
  <si>
    <t>D001939383</t>
  </si>
  <si>
    <t>9FW2079</t>
  </si>
  <si>
    <t>EVANGELINE AGNO</t>
  </si>
  <si>
    <t>D001939692</t>
  </si>
  <si>
    <t>9FW0301</t>
  </si>
  <si>
    <t>SWEET STORE</t>
  </si>
  <si>
    <t>D001939382</t>
  </si>
  <si>
    <t>9FW0169</t>
  </si>
  <si>
    <t>SALLY STORE</t>
  </si>
  <si>
    <t>D001939687</t>
  </si>
  <si>
    <t>MB00746</t>
  </si>
  <si>
    <t>IRA DIAGSAY STORE</t>
  </si>
  <si>
    <t>D001939693</t>
  </si>
  <si>
    <t>9FW2980</t>
  </si>
  <si>
    <t>CRISTY STORE</t>
  </si>
  <si>
    <t>D001939695</t>
  </si>
  <si>
    <t>9FW0293</t>
  </si>
  <si>
    <t>AMY STORE</t>
  </si>
  <si>
    <t>D001939381</t>
  </si>
  <si>
    <t>9FW0318</t>
  </si>
  <si>
    <t>D001939380</t>
  </si>
  <si>
    <t>9FW2081</t>
  </si>
  <si>
    <t>DEVIS ARAGO</t>
  </si>
  <si>
    <t>D001939379</t>
  </si>
  <si>
    <t>9FW1485</t>
  </si>
  <si>
    <t>OPERIO'S COMBI</t>
  </si>
  <si>
    <t>D001939378</t>
  </si>
  <si>
    <t>9FW1487</t>
  </si>
  <si>
    <t>MARILYNS SNACKS</t>
  </si>
  <si>
    <t>D001939303</t>
  </si>
  <si>
    <t>9FW1483</t>
  </si>
  <si>
    <t>GINA'S COMBI</t>
  </si>
  <si>
    <t>D001939827</t>
  </si>
  <si>
    <t>9FW3262</t>
  </si>
  <si>
    <t>ROWENA STORE</t>
  </si>
  <si>
    <t>D001939856</t>
  </si>
  <si>
    <t>9FW3272</t>
  </si>
  <si>
    <t>GARUL STORE</t>
  </si>
  <si>
    <t>D001939850</t>
  </si>
  <si>
    <t>1020253</t>
  </si>
  <si>
    <t>RM STORE</t>
  </si>
  <si>
    <t>D001940309</t>
  </si>
  <si>
    <t>MB00346</t>
  </si>
  <si>
    <t>JJCJ SARI-SARI STORE</t>
  </si>
  <si>
    <t>D001939330</t>
  </si>
  <si>
    <t>9FW2027</t>
  </si>
  <si>
    <t>CATH SARI SARI STORE</t>
  </si>
  <si>
    <t>D001934907</t>
  </si>
  <si>
    <t>9FW0302</t>
  </si>
  <si>
    <t>JAS STORE</t>
  </si>
  <si>
    <t>D001939331</t>
  </si>
  <si>
    <t>D001939434</t>
  </si>
  <si>
    <t>N600068</t>
  </si>
  <si>
    <t>NILSON STORE</t>
  </si>
  <si>
    <t>D001934892</t>
  </si>
  <si>
    <t>N600056</t>
  </si>
  <si>
    <t>MELISA STORE</t>
  </si>
  <si>
    <t>D001939427</t>
  </si>
  <si>
    <t>D001939426</t>
  </si>
  <si>
    <t>9FW1417</t>
  </si>
  <si>
    <t>BORONGAN TRANSPORT</t>
  </si>
  <si>
    <t>D001939428</t>
  </si>
  <si>
    <t>N710001</t>
  </si>
  <si>
    <t>ROGELIO STORE</t>
  </si>
  <si>
    <t>D001939431</t>
  </si>
  <si>
    <t>N600069</t>
  </si>
  <si>
    <t>HARON STORE</t>
  </si>
  <si>
    <t>D001939432</t>
  </si>
  <si>
    <t>9FW0315</t>
  </si>
  <si>
    <t>ALJUNS STORE</t>
  </si>
  <si>
    <t>D001934891</t>
  </si>
  <si>
    <t>D001939433</t>
  </si>
  <si>
    <t>9FW0316</t>
  </si>
  <si>
    <t>KATH SARI SARI STORE</t>
  </si>
  <si>
    <t>D001939435</t>
  </si>
  <si>
    <t>N600064</t>
  </si>
  <si>
    <t>IAN STORE</t>
  </si>
  <si>
    <t>D001939430</t>
  </si>
  <si>
    <t>9FW0317</t>
  </si>
  <si>
    <t>MAY STORE</t>
  </si>
  <si>
    <t>D001939436</t>
  </si>
  <si>
    <t>N600066</t>
  </si>
  <si>
    <t>CASPE STORE</t>
  </si>
  <si>
    <t>D001939526</t>
  </si>
  <si>
    <t>N600067</t>
  </si>
  <si>
    <t>TESS STORE</t>
  </si>
  <si>
    <t>D001939815</t>
  </si>
  <si>
    <t>9FW0167</t>
  </si>
  <si>
    <t>AKIE STORE</t>
  </si>
  <si>
    <t>D001939558</t>
  </si>
  <si>
    <t>9FW0168</t>
  </si>
  <si>
    <t>GABORNES STORE</t>
  </si>
  <si>
    <t>D001939819</t>
  </si>
  <si>
    <t>MDS102</t>
  </si>
  <si>
    <t>BETH DRESSED CHICKEN</t>
  </si>
  <si>
    <t>D001934893</t>
  </si>
  <si>
    <t>MB00406</t>
  </si>
  <si>
    <t>JONAH MEA STORE</t>
  </si>
  <si>
    <t>D001940074</t>
  </si>
  <si>
    <t>D001940075</t>
  </si>
  <si>
    <t>MB00405</t>
  </si>
  <si>
    <t>SUNRICE CAFETERIA</t>
  </si>
  <si>
    <t>D001940073</t>
  </si>
  <si>
    <t>N600055</t>
  </si>
  <si>
    <t>MELAY STORE</t>
  </si>
  <si>
    <t>D001939441</t>
  </si>
  <si>
    <t>9FW1386</t>
  </si>
  <si>
    <t>SERENITY CONVENIENCE STORE</t>
  </si>
  <si>
    <t>D001939337</t>
  </si>
  <si>
    <t>9FW3082</t>
  </si>
  <si>
    <t>CELIN STORE</t>
  </si>
  <si>
    <t>D001939336</t>
  </si>
  <si>
    <t>9FW3330</t>
  </si>
  <si>
    <t>RACAS MINI MART</t>
  </si>
  <si>
    <t>D001939350</t>
  </si>
  <si>
    <t>1022921</t>
  </si>
  <si>
    <t>Juan consumer goods trading</t>
  </si>
  <si>
    <t>NESTLE MILO RTD 60x110ml N2 PH</t>
  </si>
  <si>
    <t>D001939444</t>
  </si>
  <si>
    <t>D001940154</t>
  </si>
  <si>
    <t>9FW3118</t>
  </si>
  <si>
    <t>ROHAN STORE</t>
  </si>
  <si>
    <t>D001940252</t>
  </si>
  <si>
    <t>9FW3049</t>
  </si>
  <si>
    <t>NIMFA STORE</t>
  </si>
  <si>
    <t>D001939816</t>
  </si>
  <si>
    <t>9FW1387</t>
  </si>
  <si>
    <t>ELMO'S FOOD HAUS</t>
  </si>
  <si>
    <t>D001940076</t>
  </si>
  <si>
    <t>9FW1976</t>
  </si>
  <si>
    <t>JOJET CONVENIENCE STORE</t>
  </si>
  <si>
    <t>D001940310</t>
  </si>
  <si>
    <t>9FW2173</t>
  </si>
  <si>
    <t>MARGIE ARRE STORE</t>
  </si>
  <si>
    <t>D001940082</t>
  </si>
  <si>
    <t>N600038</t>
  </si>
  <si>
    <t>LIRMA STORE</t>
  </si>
  <si>
    <t>D001940083</t>
  </si>
  <si>
    <t>N600044</t>
  </si>
  <si>
    <t>JERALDINE STORE</t>
  </si>
  <si>
    <t>D001940084</t>
  </si>
  <si>
    <t>9FW2191</t>
  </si>
  <si>
    <t>SAYAKA STORE</t>
  </si>
  <si>
    <t>D001940099</t>
  </si>
  <si>
    <t>N600128</t>
  </si>
  <si>
    <t>ERMALYN STORE</t>
  </si>
  <si>
    <t>D001939626</t>
  </si>
  <si>
    <t>N600100</t>
  </si>
  <si>
    <t>JERELY TRADING</t>
  </si>
  <si>
    <t>D001934908</t>
  </si>
  <si>
    <t>N600088</t>
  </si>
  <si>
    <t>R.BALICAT STORE</t>
  </si>
  <si>
    <t>D001939650</t>
  </si>
  <si>
    <t>D001939601</t>
  </si>
  <si>
    <t>1022869</t>
  </si>
  <si>
    <t>KUYA EMER STORE</t>
  </si>
  <si>
    <t>D001939665</t>
  </si>
  <si>
    <t>9FW1397</t>
  </si>
  <si>
    <t>SHELL SIDE EATERY</t>
  </si>
  <si>
    <t>D001939817</t>
  </si>
  <si>
    <t>9FW1395</t>
  </si>
  <si>
    <t>CHAOLIN EATERY</t>
  </si>
  <si>
    <t>D001934909</t>
  </si>
  <si>
    <t>9FW1389</t>
  </si>
  <si>
    <t>FRIEDO'S EATERY</t>
  </si>
  <si>
    <t>D001939818</t>
  </si>
  <si>
    <t>D001940328</t>
  </si>
  <si>
    <t>1030124</t>
  </si>
  <si>
    <t>D001939442</t>
  </si>
  <si>
    <t>N600126</t>
  </si>
  <si>
    <t>MNG STORE</t>
  </si>
  <si>
    <t>D001939335</t>
  </si>
  <si>
    <t>N600046</t>
  </si>
  <si>
    <t>ALICE STORE</t>
  </si>
  <si>
    <t>D001934903</t>
  </si>
  <si>
    <t>1023397</t>
  </si>
  <si>
    <t>ELMO STORE</t>
  </si>
  <si>
    <t>D001940153</t>
  </si>
  <si>
    <t>D001934902</t>
  </si>
  <si>
    <t>N600047</t>
  </si>
  <si>
    <t>HANA STORE</t>
  </si>
  <si>
    <t>D001940078</t>
  </si>
  <si>
    <t>D001940080</t>
  </si>
  <si>
    <t>N600037</t>
  </si>
  <si>
    <t>EDJANDERJYL STORE</t>
  </si>
  <si>
    <t>D001940098</t>
  </si>
  <si>
    <t>9FW1388</t>
  </si>
  <si>
    <t>MARIES FOOD HAUS</t>
  </si>
  <si>
    <t>D001940081</t>
  </si>
  <si>
    <t>9FW2163</t>
  </si>
  <si>
    <t>MIA'S SARI-SARI STORE</t>
  </si>
  <si>
    <t>D001940097</t>
  </si>
  <si>
    <t>9FW1978</t>
  </si>
  <si>
    <t>SARINA STORE</t>
  </si>
  <si>
    <t>D001934898</t>
  </si>
  <si>
    <t>1023400</t>
  </si>
  <si>
    <t>MACKY STORE</t>
  </si>
  <si>
    <t>D001940079</t>
  </si>
  <si>
    <t>D001934900</t>
  </si>
  <si>
    <t>N600102</t>
  </si>
  <si>
    <t>JOLAN STORE</t>
  </si>
  <si>
    <t>D001940096</t>
  </si>
  <si>
    <t>D001939445</t>
  </si>
  <si>
    <t>N600051</t>
  </si>
  <si>
    <t>HAIDEE STORE</t>
  </si>
  <si>
    <t>CrmyWhiteTP16(10x40gFr2BB33gPR</t>
  </si>
  <si>
    <t>D001934897</t>
  </si>
  <si>
    <t>1022992</t>
  </si>
  <si>
    <t>RV STORE</t>
  </si>
  <si>
    <t>D001940183</t>
  </si>
  <si>
    <t>D001934896</t>
  </si>
  <si>
    <t>N600104</t>
  </si>
  <si>
    <t>R.M STORE</t>
  </si>
  <si>
    <t>D001940250</t>
  </si>
  <si>
    <t>D001940251</t>
  </si>
  <si>
    <t>1023368</t>
  </si>
  <si>
    <t>MAX STORE</t>
  </si>
  <si>
    <t>D001934894</t>
  </si>
  <si>
    <t>D001934901</t>
  </si>
  <si>
    <t>N600106</t>
  </si>
  <si>
    <t>CARINA STORE</t>
  </si>
  <si>
    <t>D001940304</t>
  </si>
  <si>
    <t>D001934906</t>
  </si>
  <si>
    <t>1023395</t>
  </si>
  <si>
    <t>KEVIN'S STORE</t>
  </si>
  <si>
    <t>D001940306</t>
  </si>
  <si>
    <t>D001940307</t>
  </si>
  <si>
    <t>N600107</t>
  </si>
  <si>
    <t>MARIVIC STORE</t>
  </si>
  <si>
    <t>D001939603</t>
  </si>
  <si>
    <t>9FW3409</t>
  </si>
  <si>
    <t>ARLENE STORE</t>
  </si>
  <si>
    <t>D001939566</t>
  </si>
  <si>
    <t>1020164</t>
  </si>
  <si>
    <t>LORLYN STORE</t>
  </si>
  <si>
    <t>D001940325</t>
  </si>
  <si>
    <t>1023398</t>
  </si>
  <si>
    <t>CALIPANO STORE</t>
  </si>
  <si>
    <t>D001939446</t>
  </si>
  <si>
    <t>9FW2214</t>
  </si>
  <si>
    <t>D001934905</t>
  </si>
  <si>
    <t>N600099</t>
  </si>
  <si>
    <t>ELMER STORE</t>
  </si>
  <si>
    <t>D001940305</t>
  </si>
  <si>
    <t>D001939559</t>
  </si>
  <si>
    <t>N600042</t>
  </si>
  <si>
    <t>QUITASOL STORE</t>
  </si>
  <si>
    <t>D001939527</t>
  </si>
  <si>
    <t>N600040</t>
  </si>
  <si>
    <t>CLOE'S STORE</t>
  </si>
  <si>
    <t>D001939447</t>
  </si>
  <si>
    <t>N600039</t>
  </si>
  <si>
    <t>ERLINDA STORE</t>
  </si>
  <si>
    <t>D001939604</t>
  </si>
  <si>
    <t>N600052</t>
  </si>
  <si>
    <t>D001939627</t>
  </si>
  <si>
    <t>9FW2190</t>
  </si>
  <si>
    <t>MSA STORE</t>
  </si>
  <si>
    <t>D001939513</t>
  </si>
  <si>
    <t>N600053</t>
  </si>
  <si>
    <t>SILVERO STORE</t>
  </si>
  <si>
    <t>D001939820</t>
  </si>
  <si>
    <t>9FW2981</t>
  </si>
  <si>
    <t>EMILDA STORE</t>
  </si>
  <si>
    <t>D001939821</t>
  </si>
  <si>
    <t>9FW3490</t>
  </si>
  <si>
    <t>GUBAN STORE</t>
  </si>
  <si>
    <t>D001939843</t>
  </si>
  <si>
    <t>9FW3503</t>
  </si>
  <si>
    <t>DUZON STORE</t>
  </si>
  <si>
    <t>D001939512</t>
  </si>
  <si>
    <t>9FW3411</t>
  </si>
  <si>
    <t>Maggi Magic Sarap 8g 32+4</t>
  </si>
  <si>
    <t>NESTEA Apple P99 Pack</t>
  </si>
  <si>
    <t>D001939822</t>
  </si>
  <si>
    <t>9FW3519</t>
  </si>
  <si>
    <t>ROSE MARIE STORE</t>
  </si>
  <si>
    <t>D001939824</t>
  </si>
  <si>
    <t>9FW3431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</si>
</sst>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color indexed="8"/>
      <name val="ARIAL"/>
      <charset val="1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43" fontId="4" fillId="0" borderId="0" applyFont="0" applyFill="0" applyBorder="0" applyAlignment="0" applyProtection="0"/>
  </cellStyleXfs>
  <cellXfs count="20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NumberFormat="1">
      <alignment vertical="top"/>
    </xf>
    <xf numFmtId="0" fontId="2" fillId="0" borderId="0" xfId="0" applyFont="1" applyAlignment="1">
      <alignment vertical="center"/>
    </xf>
    <xf numFmtId="43" fontId="3" fillId="0" borderId="0" xfId="1" applyFont="1" applyAlignment="1">
      <alignment vertical="center" wrapText="1"/>
    </xf>
    <xf numFmtId="43" fontId="3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43" fontId="1" fillId="0" borderId="0" xfId="1" applyFont="1" applyAlignment="1">
      <alignment vertical="top"/>
    </xf>
    <xf numFmtId="4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NumberFormat="1" applyFont="1" applyAlignment="1">
      <alignment horizontal="center" vertical="top"/>
    </xf>
    <xf numFmtId="0" fontId="0" fillId="0" borderId="0" xfId="0" applyNumberFormat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3C5F-7D8F-4C3D-958B-EEB524C98FB9}">
  <sheetPr filterMode="1"/>
  <dimension ref="A1:G494"/>
  <sheetViews>
    <sheetView topLeftCell="A44" workbookViewId="0">
      <selection activeCell="A3" sqref="A3:G59"/>
    </sheetView>
  </sheetViews>
  <sheetFormatPr defaultRowHeight="12.75" x14ac:dyDescent="0.2"/>
  <cols>
    <col min="1" max="1" width="13.7109375" style="13" bestFit="1" customWidth="1"/>
    <col min="2" max="2" width="43.85546875" style="13" bestFit="1" customWidth="1"/>
    <col min="3" max="3" width="10.42578125" style="14" customWidth="1"/>
    <col min="4" max="4" width="9.42578125" style="13" bestFit="1" customWidth="1"/>
    <col min="5" max="5" width="8.7109375" style="13" bestFit="1" customWidth="1"/>
    <col min="6" max="6" width="9.5703125" style="15" customWidth="1"/>
    <col min="7" max="7" width="12" style="17" bestFit="1" customWidth="1"/>
    <col min="8" max="16384" width="9.140625" style="13"/>
  </cols>
  <sheetData>
    <row r="1" spans="1:7" s="9" customFormat="1" ht="33" customHeight="1" x14ac:dyDescent="0.2">
      <c r="A1" s="9" t="s">
        <v>17</v>
      </c>
      <c r="B1" s="9" t="s">
        <v>18</v>
      </c>
      <c r="C1" s="10" t="s">
        <v>21</v>
      </c>
      <c r="D1" s="9" t="s">
        <v>19</v>
      </c>
      <c r="E1" s="9" t="s">
        <v>20</v>
      </c>
      <c r="F1" s="11" t="s">
        <v>30</v>
      </c>
      <c r="G1" s="12" t="s">
        <v>111</v>
      </c>
    </row>
    <row r="2" spans="1:7" hidden="1" x14ac:dyDescent="0.2">
      <c r="A2" s="13">
        <v>11330</v>
      </c>
      <c r="B2" s="13" t="str">
        <f>VLOOKUP(A2,LineItems!D:E,2,FALSE)</f>
        <v>6+1 NESTEA LEMON 20G</v>
      </c>
      <c r="C2" s="14">
        <f>F2</f>
        <v>112.505</v>
      </c>
      <c r="D2" s="13">
        <f>VLOOKUP(A2,data!A:D,4,FALSE)</f>
        <v>1</v>
      </c>
      <c r="E2" s="13">
        <f>VLOOKUP(A2,data!A:E,5,FALSE)</f>
        <v>1</v>
      </c>
      <c r="F2" s="15">
        <f>VLOOKUP(A2,LineItems!D:I,6,FALSE) / VLOOKUP(A2,LineItems!D:I,5,FALSE)</f>
        <v>112.505</v>
      </c>
      <c r="G2" s="16" t="str">
        <f xml:space="preserve"> IF((VLOOKUP(A2,data!A:C,3,FALSE)-F2)=0,"No Change","Price Changed")</f>
        <v>No Change</v>
      </c>
    </row>
    <row r="3" spans="1:7" x14ac:dyDescent="0.2">
      <c r="A3" s="13">
        <v>31711</v>
      </c>
      <c r="B3" s="13" t="str">
        <f>VLOOKUP(A3,LineItems!D:E,2,FALSE)</f>
        <v>Maggi Magic Sarap 8g 32+4</v>
      </c>
      <c r="C3" s="14">
        <f>F3</f>
        <v>153.11600000000001</v>
      </c>
      <c r="D3" s="13">
        <f>VLOOKUP(A3,data!A:D,4,FALSE)</f>
        <v>1</v>
      </c>
      <c r="E3" s="13">
        <f>VLOOKUP(A3,data!A:E,5,FALSE)</f>
        <v>1</v>
      </c>
      <c r="F3" s="15">
        <f>VLOOKUP(A3,LineItems!D:I,6,FALSE) / VLOOKUP(A3,LineItems!D:I,5,FALSE)</f>
        <v>153.11600000000001</v>
      </c>
      <c r="G3" s="16" t="str">
        <f xml:space="preserve"> IF((VLOOKUP(A3,data!A:C,3,FALSE)-F3)=0,"No Change","Price Changed")</f>
        <v>No Change</v>
      </c>
    </row>
    <row r="4" spans="1:7" x14ac:dyDescent="0.2">
      <c r="A4" s="13">
        <v>43564</v>
      </c>
      <c r="B4" s="13" t="str">
        <f>VLOOKUP(A4,LineItems!D:E,2,FALSE)</f>
        <v>Nescafe CreamyWhite TP 40g 5+1</v>
      </c>
      <c r="C4" s="14">
        <f>F4</f>
        <v>67.27</v>
      </c>
      <c r="D4" s="13">
        <f>VLOOKUP(A4,data!A:D,4,FALSE)</f>
        <v>1</v>
      </c>
      <c r="E4" s="13">
        <f>VLOOKUP(A4,data!A:E,5,FALSE)</f>
        <v>1</v>
      </c>
      <c r="F4" s="15">
        <f>VLOOKUP(A4,LineItems!D:I,6,FALSE) / VLOOKUP(A4,LineItems!D:I,5,FALSE)</f>
        <v>67.27</v>
      </c>
      <c r="G4" s="16" t="str">
        <f xml:space="preserve"> IF((VLOOKUP(A4,data!A:C,3,FALSE)-F4)=0,"No Change","Price Changed")</f>
        <v>No Change</v>
      </c>
    </row>
    <row r="5" spans="1:7" x14ac:dyDescent="0.2">
      <c r="A5" s="13">
        <v>12436421</v>
      </c>
      <c r="B5" s="13" t="str">
        <f>VLOOKUP(A5,LineItems!D:E,2,FALSE)</f>
        <v>BEARBRAND PMD 192x33g PH</v>
      </c>
      <c r="C5" s="14">
        <f>F5</f>
        <v>10.7475</v>
      </c>
      <c r="D5" s="13">
        <f>VLOOKUP(A5,data!A:D,4,FALSE)</f>
        <v>192</v>
      </c>
      <c r="E5" s="13">
        <f>VLOOKUP(A5,data!A:E,5,FALSE)</f>
        <v>8</v>
      </c>
      <c r="F5" s="15">
        <f>VLOOKUP(A5,LineItems!D:I,6,FALSE) / VLOOKUP(A5,LineItems!D:I,5,FALSE)</f>
        <v>10.7475</v>
      </c>
      <c r="G5" s="16" t="str">
        <f xml:space="preserve"> IF((VLOOKUP(A5,data!A:C,3,FALSE)-F5)=0,"No Change","Price Changed")</f>
        <v>No Change</v>
      </c>
    </row>
    <row r="6" spans="1:7" x14ac:dyDescent="0.2">
      <c r="A6" s="13">
        <v>12452538</v>
      </c>
      <c r="B6" s="13" t="str">
        <f>VLOOKUP(A6,LineItems!D:E,2,FALSE)</f>
        <v>NESTLE MILO RTD 60x110ml N2 PH</v>
      </c>
      <c r="C6" s="14">
        <f>F6</f>
        <v>14.773</v>
      </c>
      <c r="D6" s="13">
        <f>VLOOKUP(A6,data!A:D,4,FALSE)</f>
        <v>60</v>
      </c>
      <c r="E6" s="13">
        <f>VLOOKUP(A6,data!A:E,5,FALSE)</f>
        <v>1</v>
      </c>
      <c r="F6" s="15">
        <f>VLOOKUP(A6,LineItems!D:I,6,FALSE) / VLOOKUP(A6,LineItems!D:I,5,FALSE)</f>
        <v>14.773</v>
      </c>
      <c r="G6" s="16" t="str">
        <f xml:space="preserve"> IF((VLOOKUP(A6,data!A:C,3,FALSE)-F6)=0,"No Change","Price Changed")</f>
        <v>No Change</v>
      </c>
    </row>
    <row r="7" spans="1:7" x14ac:dyDescent="0.2">
      <c r="A7" s="13">
        <v>12454174</v>
      </c>
      <c r="B7" s="13" t="str">
        <f>VLOOKUP(A7,LineItems!D:E,2,FALSE)</f>
        <v>MILO RTD PAPStraw 32x180ml</v>
      </c>
      <c r="C7" s="14">
        <f>F7</f>
        <v>23.401</v>
      </c>
      <c r="D7" s="13">
        <f>VLOOKUP(A7,data!A:D,4,FALSE)</f>
        <v>32</v>
      </c>
      <c r="E7" s="13">
        <f>VLOOKUP(A7,data!A:E,5,FALSE)</f>
        <v>1</v>
      </c>
      <c r="F7" s="15">
        <f>VLOOKUP(A7,LineItems!D:I,6,FALSE) / VLOOKUP(A7,LineItems!D:I,5,FALSE)</f>
        <v>23.401</v>
      </c>
      <c r="G7" s="16" t="str">
        <f xml:space="preserve"> IF((VLOOKUP(A7,data!A:C,3,FALSE)-F7)=0,"No Change","Price Changed")</f>
        <v>No Change</v>
      </c>
    </row>
    <row r="8" spans="1:7" hidden="1" x14ac:dyDescent="0.2">
      <c r="A8" s="13">
        <v>12455866</v>
      </c>
      <c r="B8" s="13" t="str">
        <f>VLOOKUP(A8,LineItems!D:E,2,FALSE)</f>
        <v>FRESH MILK NZ PRSM 24x250mL</v>
      </c>
      <c r="C8" s="14">
        <f>F8</f>
        <v>36.646666666666668</v>
      </c>
      <c r="D8" s="13">
        <f>VLOOKUP(A8,data!A:D,4,FALSE)</f>
        <v>24</v>
      </c>
      <c r="E8" s="13">
        <f>VLOOKUP(A8,data!A:E,5,FALSE)</f>
        <v>1</v>
      </c>
      <c r="F8" s="15">
        <f>VLOOKUP(A8,LineItems!D:I,6,FALSE) / VLOOKUP(A8,LineItems!D:I,5,FALSE)</f>
        <v>36.646666666666668</v>
      </c>
      <c r="G8" s="16" t="str">
        <f xml:space="preserve"> IF((VLOOKUP(A8,data!A:C,3,FALSE)-F8)=0,"No Change","Price Changed")</f>
        <v>No Change</v>
      </c>
    </row>
    <row r="9" spans="1:7" x14ac:dyDescent="0.2">
      <c r="A9" s="13">
        <v>12458241</v>
      </c>
      <c r="B9" s="13" t="str">
        <f>VLOOKUP(A9,LineItems!D:E,2,FALSE)</f>
        <v>BB Ster W GinkgoBiloba32x200ml</v>
      </c>
      <c r="C9" s="14">
        <f>F9</f>
        <v>26.731999999999999</v>
      </c>
      <c r="D9" s="13">
        <f>VLOOKUP(A9,data!A:D,4,FALSE)</f>
        <v>32</v>
      </c>
      <c r="E9" s="13">
        <f>VLOOKUP(A9,data!A:E,5,FALSE)</f>
        <v>1</v>
      </c>
      <c r="F9" s="15">
        <f>VLOOKUP(A9,LineItems!D:I,6,FALSE) / VLOOKUP(A9,LineItems!D:I,5,FALSE)</f>
        <v>26.731999999999999</v>
      </c>
      <c r="G9" s="16" t="str">
        <f xml:space="preserve"> IF((VLOOKUP(A9,data!A:C,3,FALSE)-F9)=0,"No Change","Price Changed")</f>
        <v>No Change</v>
      </c>
    </row>
    <row r="10" spans="1:7" x14ac:dyDescent="0.2">
      <c r="A10" s="13">
        <v>12473150</v>
      </c>
      <c r="B10" s="13" t="str">
        <f>VLOOKUP(A10,LineItems!D:E,2,FALSE)</f>
        <v>MILORTD6(10x110ml)Php15Off</v>
      </c>
      <c r="C10" s="14">
        <f>F10</f>
        <v>133.60499999999999</v>
      </c>
      <c r="D10" s="13">
        <f>VLOOKUP(A10,data!A:D,4,FALSE)</f>
        <v>6</v>
      </c>
      <c r="E10" s="13">
        <f>VLOOKUP(A10,data!A:E,5,FALSE)</f>
        <v>1</v>
      </c>
      <c r="F10" s="15">
        <f>VLOOKUP(A10,LineItems!D:I,6,FALSE) / VLOOKUP(A10,LineItems!D:I,5,FALSE)</f>
        <v>133.60499999999999</v>
      </c>
      <c r="G10" s="16" t="str">
        <f xml:space="preserve"> IF((VLOOKUP(A10,data!A:C,3,FALSE)-F10)=0,"No Change","Price Changed")</f>
        <v>No Change</v>
      </c>
    </row>
    <row r="11" spans="1:7" hidden="1" x14ac:dyDescent="0.2">
      <c r="A11" s="13">
        <v>12520698</v>
      </c>
      <c r="B11" s="13" t="str">
        <f>VLOOKUP(A11,LineItems!D:E,2,FALSE)</f>
        <v>MAGGI Oyster Sauce  12(12x30g)</v>
      </c>
      <c r="C11" s="14">
        <f>F11</f>
        <v>6.4329166666666664</v>
      </c>
      <c r="D11" s="13">
        <f>VLOOKUP(A11,data!A:D,4,FALSE)</f>
        <v>144</v>
      </c>
      <c r="E11" s="13">
        <f>VLOOKUP(A11,data!A:E,5,FALSE)</f>
        <v>12</v>
      </c>
      <c r="F11" s="15">
        <f>VLOOKUP(A11,LineItems!D:I,6,FALSE) / VLOOKUP(A11,LineItems!D:I,5,FALSE)</f>
        <v>6.4329166666666664</v>
      </c>
      <c r="G11" s="16" t="str">
        <f xml:space="preserve"> IF((VLOOKUP(A11,data!A:C,3,FALSE)-F11)=0,"No Change","Price Changed")</f>
        <v>No Change</v>
      </c>
    </row>
    <row r="12" spans="1:7" x14ac:dyDescent="0.2">
      <c r="A12" s="13">
        <v>12528208</v>
      </c>
      <c r="B12" s="13" t="str">
        <f>VLOOKUP(A12,LineItems!D:E,2,FALSE)</f>
        <v>BEARBRAND PMD 72x135g PH</v>
      </c>
      <c r="C12" s="14">
        <f>F12</f>
        <v>43.285833333333329</v>
      </c>
      <c r="D12" s="13">
        <f>VLOOKUP(A12,data!A:D,4,FALSE)</f>
        <v>72</v>
      </c>
      <c r="E12" s="13">
        <f>VLOOKUP(A12,data!A:E,5,FALSE)</f>
        <v>4</v>
      </c>
      <c r="F12" s="15">
        <f>VLOOKUP(A12,LineItems!D:I,6,FALSE) / VLOOKUP(A12,LineItems!D:I,5,FALSE)</f>
        <v>43.285833333333329</v>
      </c>
      <c r="G12" s="16" t="str">
        <f xml:space="preserve"> IF((VLOOKUP(A12,data!A:C,3,FALSE)-F12)=0,"No Change","Price Changed")</f>
        <v>No Change</v>
      </c>
    </row>
    <row r="13" spans="1:7" x14ac:dyDescent="0.2">
      <c r="A13" s="13">
        <v>12528213</v>
      </c>
      <c r="B13" s="13" t="str">
        <f>VLOOKUP(A13,LineItems!D:E,2,FALSE)</f>
        <v>BEARBRAND PMD 14x680g PH</v>
      </c>
      <c r="C13" s="14">
        <f>F13</f>
        <v>239.51</v>
      </c>
      <c r="D13" s="13">
        <f>VLOOKUP(A13,data!A:D,4,FALSE)</f>
        <v>14</v>
      </c>
      <c r="E13" s="13">
        <f>VLOOKUP(A13,data!A:E,5,FALSE)</f>
        <v>1</v>
      </c>
      <c r="F13" s="15">
        <f>VLOOKUP(A13,LineItems!D:I,6,FALSE) / VLOOKUP(A13,LineItems!D:I,5,FALSE)</f>
        <v>239.51</v>
      </c>
      <c r="G13" s="16" t="str">
        <f xml:space="preserve"> IF((VLOOKUP(A13,data!A:C,3,FALSE)-F13)=0,"No Change","Price Changed")</f>
        <v>No Change</v>
      </c>
    </row>
    <row r="14" spans="1:7" x14ac:dyDescent="0.2">
      <c r="A14" s="13">
        <v>12528224</v>
      </c>
      <c r="B14" s="13" t="str">
        <f>VLOOKUP(A14,LineItems!D:E,2,FALSE)</f>
        <v>BEARBRAND PMD 14x840g PH</v>
      </c>
      <c r="C14" s="14">
        <f>F14</f>
        <v>288.57</v>
      </c>
      <c r="D14" s="13">
        <f>VLOOKUP(A14,data!A:D,4,FALSE)</f>
        <v>14</v>
      </c>
      <c r="E14" s="13">
        <f>VLOOKUP(A14,data!A:E,5,FALSE)</f>
        <v>1</v>
      </c>
      <c r="F14" s="15">
        <f>VLOOKUP(A14,LineItems!D:I,6,FALSE) / VLOOKUP(A14,LineItems!D:I,5,FALSE)</f>
        <v>288.57</v>
      </c>
      <c r="G14" s="16" t="str">
        <f xml:space="preserve"> IF((VLOOKUP(A14,data!A:C,3,FALSE)-F14)=0,"No Change","Price Changed")</f>
        <v>No Change</v>
      </c>
    </row>
    <row r="15" spans="1:7" x14ac:dyDescent="0.2">
      <c r="A15" s="13">
        <v>12536218</v>
      </c>
      <c r="B15" s="13" t="str">
        <f>VLOOKUP(A15,LineItems!D:E,2,FALSE)</f>
        <v>BB CHOCO 192x29g (NON-PROMO)</v>
      </c>
      <c r="C15" s="14">
        <f>F15</f>
        <v>10.746500000000001</v>
      </c>
      <c r="D15" s="13">
        <f>VLOOKUP(A15,data!A:D,4,FALSE)</f>
        <v>192</v>
      </c>
      <c r="E15" s="13">
        <f>VLOOKUP(A15,data!A:E,5,FALSE)</f>
        <v>8</v>
      </c>
      <c r="F15" s="15">
        <f>VLOOKUP(A15,LineItems!D:I,6,FALSE) / VLOOKUP(A15,LineItems!D:I,5,FALSE)</f>
        <v>10.746500000000001</v>
      </c>
      <c r="G15" s="16" t="str">
        <f xml:space="preserve"> IF((VLOOKUP(A15,data!A:C,3,FALSE)-F15)=0,"No Change","Price Changed")</f>
        <v>No Change</v>
      </c>
    </row>
    <row r="16" spans="1:7" x14ac:dyDescent="0.2">
      <c r="A16" s="13">
        <v>12555739</v>
      </c>
      <c r="B16" s="13" t="str">
        <f>VLOOKUP(A16,LineItems!D:E,2,FALSE)</f>
        <v>BBS Pap 32x200ml PH</v>
      </c>
      <c r="C16" s="14">
        <f>F16</f>
        <v>26.733333333333334</v>
      </c>
      <c r="D16" s="13">
        <f>VLOOKUP(A16,data!A:D,4,FALSE)</f>
        <v>32</v>
      </c>
      <c r="E16" s="13">
        <f>VLOOKUP(A16,data!A:E,5,FALSE)</f>
        <v>1</v>
      </c>
      <c r="F16" s="15">
        <f>VLOOKUP(A16,LineItems!D:I,6,FALSE) / VLOOKUP(A16,LineItems!D:I,5,FALSE)</f>
        <v>26.733333333333334</v>
      </c>
      <c r="G16" s="16" t="str">
        <f xml:space="preserve"> IF((VLOOKUP(A16,data!A:C,3,FALSE)-F16)=0,"No Change","Price Changed")</f>
        <v>No Change</v>
      </c>
    </row>
    <row r="17" spans="1:7" hidden="1" x14ac:dyDescent="0.2">
      <c r="A17" s="13">
        <v>12560070</v>
      </c>
      <c r="B17" s="13" t="str">
        <f>VLOOKUP(A17,LineItems!D:E,2,FALSE)</f>
        <v>MMS 60(16x8g) N1 PH</v>
      </c>
      <c r="C17" s="14">
        <f>F17</f>
        <v>4.7850000000000001</v>
      </c>
      <c r="D17" s="13">
        <f>VLOOKUP(A17,data!A:D,4,FALSE)</f>
        <v>960</v>
      </c>
      <c r="E17" s="13">
        <f>VLOOKUP(A17,data!A:E,5,FALSE)</f>
        <v>16</v>
      </c>
      <c r="F17" s="15">
        <f>VLOOKUP(A17,LineItems!D:I,6,FALSE) / VLOOKUP(A17,LineItems!D:I,5,FALSE)</f>
        <v>4.7850000000000001</v>
      </c>
      <c r="G17" s="16" t="str">
        <f xml:space="preserve"> IF((VLOOKUP(A17,data!A:C,3,FALSE)-F17)=0,"No Change","Price Changed")</f>
        <v>No Change</v>
      </c>
    </row>
    <row r="18" spans="1:7" x14ac:dyDescent="0.2">
      <c r="A18" s="13">
        <v>12560528</v>
      </c>
      <c r="B18" s="13" t="str">
        <f>VLOOKUP(A18,LineItems!D:E,2,FALSE)</f>
        <v>CERELAC BLWheBanana40x120gN3PH</v>
      </c>
      <c r="C18" s="14">
        <f>F18</f>
        <v>67.284999999999997</v>
      </c>
      <c r="D18" s="13">
        <f>VLOOKUP(A18,data!A:D,4,FALSE)</f>
        <v>40</v>
      </c>
      <c r="E18" s="13">
        <f>VLOOKUP(A18,data!A:E,5,FALSE)</f>
        <v>1</v>
      </c>
      <c r="F18" s="15">
        <f>VLOOKUP(A18,LineItems!D:I,6,FALSE) / VLOOKUP(A18,LineItems!D:I,5,FALSE)</f>
        <v>67.284999999999997</v>
      </c>
      <c r="G18" s="16" t="str">
        <f xml:space="preserve"> IF((VLOOKUP(A18,data!A:C,3,FALSE)-F18)=0,"No Change","Price Changed")</f>
        <v>No Change</v>
      </c>
    </row>
    <row r="19" spans="1:7" x14ac:dyDescent="0.2">
      <c r="A19" s="13">
        <v>12560593</v>
      </c>
      <c r="B19" s="13" t="str">
        <f>VLOOKUP(A19,LineItems!D:E,2,FALSE)</f>
        <v>CERELAC BL RiceSoya 40x120g</v>
      </c>
      <c r="C19" s="14">
        <f>F19</f>
        <v>67.935000000000002</v>
      </c>
      <c r="D19" s="13">
        <f>VLOOKUP(A19,data!A:D,4,FALSE)</f>
        <v>40</v>
      </c>
      <c r="E19" s="13">
        <f>VLOOKUP(A19,data!A:E,5,FALSE)</f>
        <v>1</v>
      </c>
      <c r="F19" s="15">
        <f>VLOOKUP(A19,LineItems!D:I,6,FALSE) / VLOOKUP(A19,LineItems!D:I,5,FALSE)</f>
        <v>67.935000000000002</v>
      </c>
      <c r="G19" s="16" t="str">
        <f xml:space="preserve"> IF((VLOOKUP(A19,data!A:C,3,FALSE)-F19)=0,"No Change","Price Changed")</f>
        <v>No Change</v>
      </c>
    </row>
    <row r="20" spans="1:7" x14ac:dyDescent="0.2">
      <c r="A20" s="13">
        <v>12560753</v>
      </c>
      <c r="B20" s="13" t="str">
        <f>VLOOKUP(A20,LineItems!D:E,2,FALSE)</f>
        <v>CERELAC BL SoyaMixVeg 40x120g</v>
      </c>
      <c r="C20" s="14">
        <f>F20</f>
        <v>67.935000000000002</v>
      </c>
      <c r="D20" s="13">
        <f>VLOOKUP(A20,data!A:D,4,FALSE)</f>
        <v>40</v>
      </c>
      <c r="E20" s="13">
        <f>VLOOKUP(A20,data!A:E,5,FALSE)</f>
        <v>1</v>
      </c>
      <c r="F20" s="15">
        <f>VLOOKUP(A20,LineItems!D:I,6,FALSE) / VLOOKUP(A20,LineItems!D:I,5,FALSE)</f>
        <v>67.935000000000002</v>
      </c>
      <c r="G20" s="16" t="str">
        <f xml:space="preserve"> IF((VLOOKUP(A20,data!A:C,3,FALSE)-F20)=0,"No Change","Price Changed")</f>
        <v>No Change</v>
      </c>
    </row>
    <row r="21" spans="1:7" hidden="1" x14ac:dyDescent="0.2">
      <c r="A21" s="13">
        <v>12560970</v>
      </c>
      <c r="B21" s="13" t="str">
        <f>VLOOKUP(A21,LineItems!D:E,2,FALSE)</f>
        <v>CERELAC BL SoyaMxdF 40x120g</v>
      </c>
      <c r="C21" s="14">
        <f>F21</f>
        <v>67.935000000000002</v>
      </c>
      <c r="D21" s="13">
        <f>VLOOKUP(A21,data!A:D,4,FALSE)</f>
        <v>40</v>
      </c>
      <c r="E21" s="13">
        <f>VLOOKUP(A21,data!A:E,5,FALSE)</f>
        <v>1</v>
      </c>
      <c r="F21" s="15">
        <f>VLOOKUP(A21,LineItems!D:I,6,FALSE) / VLOOKUP(A21,LineItems!D:I,5,FALSE)</f>
        <v>67.935000000000002</v>
      </c>
      <c r="G21" s="16" t="str">
        <f xml:space="preserve"> IF((VLOOKUP(A21,data!A:C,3,FALSE)-F21)=0,"No Change","Price Changed")</f>
        <v>No Change</v>
      </c>
    </row>
    <row r="22" spans="1:7" hidden="1" x14ac:dyDescent="0.2">
      <c r="A22" s="13">
        <v>12575055</v>
      </c>
      <c r="B22" s="13" t="str">
        <f>VLOOKUP(A22,LineItems!D:E,2,FALSE)</f>
        <v>Bonna 0-6 Months 24x150g PH</v>
      </c>
      <c r="C22" s="14">
        <f>F22</f>
        <v>119.66666666666667</v>
      </c>
      <c r="D22" s="13">
        <f>VLOOKUP(A22,data!A:D,4,FALSE)</f>
        <v>24</v>
      </c>
      <c r="E22" s="13">
        <f>VLOOKUP(A22,data!A:E,5,FALSE)</f>
        <v>1</v>
      </c>
      <c r="F22" s="15">
        <f>VLOOKUP(A22,LineItems!D:I,6,FALSE) / VLOOKUP(A22,LineItems!D:I,5,FALSE)</f>
        <v>119.66666666666667</v>
      </c>
      <c r="G22" s="16" t="str">
        <f xml:space="preserve"> IF((VLOOKUP(A22,data!A:C,3,FALSE)-F22)=0,"No Change","Price Changed")</f>
        <v>No Change</v>
      </c>
    </row>
    <row r="23" spans="1:7" x14ac:dyDescent="0.2">
      <c r="A23" s="13">
        <v>12575065</v>
      </c>
      <c r="B23" s="13" t="str">
        <f>VLOOKUP(A23,LineItems!D:E,2,FALSE)</f>
        <v>Bonna 6-12 Months 18x350g PH</v>
      </c>
      <c r="C23" s="14">
        <f>F23</f>
        <v>258.48333333333335</v>
      </c>
      <c r="D23" s="13">
        <f>VLOOKUP(A23,data!A:D,4,FALSE)</f>
        <v>18</v>
      </c>
      <c r="E23" s="13">
        <f>VLOOKUP(A23,data!A:E,5,FALSE)</f>
        <v>1</v>
      </c>
      <c r="F23" s="15">
        <f>VLOOKUP(A23,LineItems!D:I,6,FALSE) / VLOOKUP(A23,LineItems!D:I,5,FALSE)</f>
        <v>258.48333333333335</v>
      </c>
      <c r="G23" s="16" t="str">
        <f xml:space="preserve"> IF((VLOOKUP(A23,data!A:C,3,FALSE)-F23)=0,"No Change","Price Changed")</f>
        <v>No Change</v>
      </c>
    </row>
    <row r="24" spans="1:7" hidden="1" x14ac:dyDescent="0.2">
      <c r="A24" s="13">
        <v>12575072</v>
      </c>
      <c r="B24" s="13" t="str">
        <f>VLOOKUP(A24,LineItems!D:E,2,FALSE)</f>
        <v>Bonna 6-12 Months 24x150g PH</v>
      </c>
      <c r="C24" s="14">
        <f>F24</f>
        <v>119.66833333333334</v>
      </c>
      <c r="D24" s="13">
        <f>VLOOKUP(A24,data!A:D,4,FALSE)</f>
        <v>24</v>
      </c>
      <c r="E24" s="13">
        <f>VLOOKUP(A24,data!A:E,5,FALSE)</f>
        <v>1</v>
      </c>
      <c r="F24" s="15">
        <f>VLOOKUP(A24,LineItems!D:I,6,FALSE) / VLOOKUP(A24,LineItems!D:I,5,FALSE)</f>
        <v>119.66833333333334</v>
      </c>
      <c r="G24" s="16" t="str">
        <f xml:space="preserve"> IF((VLOOKUP(A24,data!A:C,3,FALSE)-F24)=0,"No Change","Price Changed")</f>
        <v>No Change</v>
      </c>
    </row>
    <row r="25" spans="1:7" x14ac:dyDescent="0.2">
      <c r="A25" s="13">
        <v>12575074</v>
      </c>
      <c r="B25" s="13" t="str">
        <f>VLOOKUP(A25,LineItems!D:E,2,FALSE)</f>
        <v>Bonakid Pre-School 3+ 18x350g</v>
      </c>
      <c r="C25" s="14">
        <f>F25</f>
        <v>229.76</v>
      </c>
      <c r="D25" s="13">
        <f>VLOOKUP(A25,data!A:D,4,FALSE)</f>
        <v>18</v>
      </c>
      <c r="E25" s="13">
        <f>VLOOKUP(A25,data!A:E,5,FALSE)</f>
        <v>1</v>
      </c>
      <c r="F25" s="15">
        <f>VLOOKUP(A25,LineItems!D:I,6,FALSE) / VLOOKUP(A25,LineItems!D:I,5,FALSE)</f>
        <v>229.76</v>
      </c>
      <c r="G25" s="16" t="str">
        <f xml:space="preserve"> IF((VLOOKUP(A25,data!A:C,3,FALSE)-F25)=0,"No Change","Price Changed")</f>
        <v>No Change</v>
      </c>
    </row>
    <row r="26" spans="1:7" x14ac:dyDescent="0.2">
      <c r="A26" s="13">
        <v>12575101</v>
      </c>
      <c r="B26" s="13" t="str">
        <f>VLOOKUP(A26,LineItems!D:E,2,FALSE)</f>
        <v>Bonakid 1-3Years 18x350g PH</v>
      </c>
      <c r="C26" s="14">
        <f>F26</f>
        <v>239.33800000000002</v>
      </c>
      <c r="D26" s="13">
        <f>VLOOKUP(A26,data!A:D,4,FALSE)</f>
        <v>18</v>
      </c>
      <c r="E26" s="13">
        <f>VLOOKUP(A26,data!A:E,5,FALSE)</f>
        <v>1</v>
      </c>
      <c r="F26" s="15">
        <f>VLOOKUP(A26,LineItems!D:I,6,FALSE) / VLOOKUP(A26,LineItems!D:I,5,FALSE)</f>
        <v>239.33800000000002</v>
      </c>
      <c r="G26" s="16" t="str">
        <f xml:space="preserve"> IF((VLOOKUP(A26,data!A:C,3,FALSE)-F26)=0,"No Change","Price Changed")</f>
        <v>No Change</v>
      </c>
    </row>
    <row r="27" spans="1:7" hidden="1" x14ac:dyDescent="0.2">
      <c r="A27" s="13">
        <v>12575127</v>
      </c>
      <c r="B27" s="13" t="str">
        <f>VLOOKUP(A27,LineItems!D:E,2,FALSE)</f>
        <v>MILO MILK DRINK L 504x24g PH</v>
      </c>
      <c r="C27" s="14">
        <f>F27</f>
        <v>8.6641666666666666</v>
      </c>
      <c r="D27" s="13">
        <f>VLOOKUP(A27,data!A:D,4,FALSE)</f>
        <v>504</v>
      </c>
      <c r="E27" s="13">
        <f>VLOOKUP(A27,data!A:E,5,FALSE)</f>
        <v>12</v>
      </c>
      <c r="F27" s="15">
        <f>VLOOKUP(A27,LineItems!D:I,6,FALSE) / VLOOKUP(A27,LineItems!D:I,5,FALSE)</f>
        <v>8.6641666666666666</v>
      </c>
      <c r="G27" s="16" t="str">
        <f xml:space="preserve"> IF((VLOOKUP(A27,data!A:C,3,FALSE)-F27)=0,"No Change","Price Changed")</f>
        <v>No Change</v>
      </c>
    </row>
    <row r="28" spans="1:7" hidden="1" x14ac:dyDescent="0.2">
      <c r="A28" s="13">
        <v>12575135</v>
      </c>
      <c r="B28" s="13" t="str">
        <f>VLOOKUP(A28,LineItems!D:E,2,FALSE)</f>
        <v>MILO Twin 32(8x48g) LV S PH</v>
      </c>
      <c r="C28" s="14">
        <f>F28</f>
        <v>16.791875000000001</v>
      </c>
      <c r="D28" s="13">
        <f>VLOOKUP(A28,data!A:D,4,FALSE)</f>
        <v>256</v>
      </c>
      <c r="E28" s="13">
        <f>VLOOKUP(A28,data!A:E,5,FALSE)</f>
        <v>8</v>
      </c>
      <c r="F28" s="15">
        <f>VLOOKUP(A28,LineItems!D:I,6,FALSE) / VLOOKUP(A28,LineItems!D:I,5,FALSE)</f>
        <v>16.791875000000001</v>
      </c>
      <c r="G28" s="16" t="str">
        <f xml:space="preserve"> IF((VLOOKUP(A28,data!A:C,3,FALSE)-F28)=0,"No Change","Price Changed")</f>
        <v>No Change</v>
      </c>
    </row>
    <row r="29" spans="1:7" x14ac:dyDescent="0.2">
      <c r="A29" s="13">
        <v>12589940</v>
      </c>
      <c r="B29" s="13" t="str">
        <f>VLOOKUP(A29,LineItems!D:E,2,FALSE)</f>
        <v>BEARBRANDFortified300gBuy2Sv30</v>
      </c>
      <c r="C29" s="14">
        <f>F29</f>
        <v>182.76750000000001</v>
      </c>
      <c r="D29" s="13">
        <f>VLOOKUP(A29,data!A:D,4,FALSE)</f>
        <v>18</v>
      </c>
      <c r="E29" s="13">
        <f>VLOOKUP(A29,data!A:E,5,FALSE)</f>
        <v>1</v>
      </c>
      <c r="F29" s="15">
        <f>VLOOKUP(A29,LineItems!D:I,6,FALSE) / VLOOKUP(A29,LineItems!D:I,5,FALSE)</f>
        <v>182.76750000000001</v>
      </c>
      <c r="G29" s="16" t="str">
        <f xml:space="preserve"> IF((VLOOKUP(A29,data!A:C,3,FALSE)-F29)=0,"No Change","Price Changed")</f>
        <v>No Change</v>
      </c>
    </row>
    <row r="30" spans="1:7" hidden="1" x14ac:dyDescent="0.2">
      <c r="A30" s="13">
        <v>12592046</v>
      </c>
      <c r="B30" s="13" t="str">
        <f>VLOOKUP(A30,LineItems!D:E,2,FALSE)</f>
        <v>COFFEE-MATE 150g</v>
      </c>
      <c r="C30" s="14">
        <f>F30</f>
        <v>44.945</v>
      </c>
      <c r="D30" s="13">
        <f>VLOOKUP(A30,data!A:D,4,FALSE)</f>
        <v>60</v>
      </c>
      <c r="E30" s="13">
        <f>VLOOKUP(A30,data!A:E,5,FALSE)</f>
        <v>1</v>
      </c>
      <c r="F30" s="15">
        <f>VLOOKUP(A30,LineItems!D:I,6,FALSE) / VLOOKUP(A30,LineItems!D:I,5,FALSE)</f>
        <v>44.945</v>
      </c>
      <c r="G30" s="16" t="str">
        <f xml:space="preserve"> IF((VLOOKUP(A30,data!A:C,3,FALSE)-F30)=0,"No Change","Price Changed")</f>
        <v>No Change</v>
      </c>
    </row>
    <row r="31" spans="1:7" x14ac:dyDescent="0.2">
      <c r="A31" s="13">
        <v>12592164</v>
      </c>
      <c r="B31" s="13" t="str">
        <f>VLOOKUP(A31,LineItems!D:E,2,FALSE)</f>
        <v>COFFEE-MATE 20(48x5g)</v>
      </c>
      <c r="C31" s="14">
        <f>F31</f>
        <v>1.905</v>
      </c>
      <c r="D31" s="13">
        <f>VLOOKUP(A31,data!A:D,4,FALSE)</f>
        <v>960</v>
      </c>
      <c r="E31" s="13">
        <f>VLOOKUP(A31,data!A:E,5,FALSE)</f>
        <v>48</v>
      </c>
      <c r="F31" s="15">
        <f>VLOOKUP(A31,LineItems!D:I,6,FALSE) / VLOOKUP(A31,LineItems!D:I,5,FALSE)</f>
        <v>1.905</v>
      </c>
      <c r="G31" s="16" t="str">
        <f xml:space="preserve"> IF((VLOOKUP(A31,data!A:C,3,FALSE)-F31)=0,"No Change","Price Changed")</f>
        <v>No Change</v>
      </c>
    </row>
    <row r="32" spans="1:7" x14ac:dyDescent="0.2">
      <c r="A32" s="13">
        <v>12592549</v>
      </c>
      <c r="B32" s="13" t="str">
        <f>VLOOKUP(A32,LineItems!D:E,2,FALSE)</f>
        <v>NESTLE All Purpose Crm24x250ml</v>
      </c>
      <c r="C32" s="14">
        <f>F32</f>
        <v>67.962499999999991</v>
      </c>
      <c r="D32" s="13">
        <f>VLOOKUP(A32,data!A:D,4,FALSE)</f>
        <v>24</v>
      </c>
      <c r="E32" s="13">
        <f>VLOOKUP(A32,data!A:E,5,FALSE)</f>
        <v>1</v>
      </c>
      <c r="F32" s="15">
        <f>VLOOKUP(A32,LineItems!D:I,6,FALSE) / VLOOKUP(A32,LineItems!D:I,5,FALSE)</f>
        <v>67.962499999999991</v>
      </c>
      <c r="G32" s="16" t="str">
        <f xml:space="preserve"> IF((VLOOKUP(A32,data!A:C,3,FALSE)-F32)=0,"No Change","Price Changed")</f>
        <v>No Change</v>
      </c>
    </row>
    <row r="33" spans="1:7" x14ac:dyDescent="0.2">
      <c r="A33" s="13">
        <v>12599975</v>
      </c>
      <c r="B33" s="13" t="str">
        <f>VLOOKUP(A33,LineItems!D:E,2,FALSE)</f>
        <v>BEARBRAND Pmd17 11x33g PR 10+1</v>
      </c>
      <c r="C33" s="14">
        <f>F33</f>
        <v>107.46400000000001</v>
      </c>
      <c r="D33" s="13">
        <f>VLOOKUP(A33,data!A:D,4,FALSE)</f>
        <v>17</v>
      </c>
      <c r="E33" s="13">
        <f>VLOOKUP(A33,data!A:E,5,FALSE)</f>
        <v>1</v>
      </c>
      <c r="F33" s="15">
        <f>VLOOKUP(A33,LineItems!D:I,6,FALSE) / VLOOKUP(A33,LineItems!D:I,5,FALSE)</f>
        <v>107.46400000000001</v>
      </c>
      <c r="G33" s="16" t="str">
        <f xml:space="preserve"> IF((VLOOKUP(A33,data!A:C,3,FALSE)-F33)=0,"No Change","Price Changed")</f>
        <v>No Change</v>
      </c>
    </row>
    <row r="34" spans="1:7" x14ac:dyDescent="0.2">
      <c r="A34" s="13">
        <v>12603511</v>
      </c>
      <c r="B34" s="13" t="str">
        <f>VLOOKUP(A34,LineItems!D:E,2,FALSE)</f>
        <v>BEAR BRAND Milk and Soy192x30g</v>
      </c>
      <c r="C34" s="14">
        <f>F34</f>
        <v>8.1560000000000006</v>
      </c>
      <c r="D34" s="13">
        <f>VLOOKUP(A34,data!A:D,4,FALSE)</f>
        <v>192</v>
      </c>
      <c r="E34" s="13">
        <f>VLOOKUP(A34,data!A:E,5,FALSE)</f>
        <v>8</v>
      </c>
      <c r="F34" s="15">
        <f>VLOOKUP(A34,LineItems!D:I,6,FALSE) / VLOOKUP(A34,LineItems!D:I,5,FALSE)</f>
        <v>8.1560000000000006</v>
      </c>
      <c r="G34" s="16" t="str">
        <f xml:space="preserve"> IF((VLOOKUP(A34,data!A:C,3,FALSE)-F34)=0,"No Change","Price Changed")</f>
        <v>No Change</v>
      </c>
    </row>
    <row r="35" spans="1:7" x14ac:dyDescent="0.2">
      <c r="A35" s="13">
        <v>12604367</v>
      </c>
      <c r="B35" s="13" t="str">
        <f>VLOOKUP(A35,LineItems!D:E,2,FALSE)</f>
        <v>NESCAFE Creamy White 20g</v>
      </c>
      <c r="C35" s="14">
        <f>F35</f>
        <v>8.278666666666668</v>
      </c>
      <c r="D35" s="13">
        <f>VLOOKUP(A35,data!A:D,4,FALSE)</f>
        <v>240</v>
      </c>
      <c r="E35" s="13">
        <f>VLOOKUP(A35,data!A:E,5,FALSE)</f>
        <v>10</v>
      </c>
      <c r="F35" s="15">
        <f>VLOOKUP(A35,LineItems!D:I,6,FALSE) / VLOOKUP(A35,LineItems!D:I,5,FALSE)</f>
        <v>8.278666666666668</v>
      </c>
      <c r="G35" s="16" t="str">
        <f xml:space="preserve"> IF((VLOOKUP(A35,data!A:C,3,FALSE)-F35)=0,"No Change","Price Changed")</f>
        <v>No Change</v>
      </c>
    </row>
    <row r="36" spans="1:7" x14ac:dyDescent="0.2">
      <c r="A36" s="13">
        <v>12604368</v>
      </c>
      <c r="B36" s="13" t="str">
        <f>VLOOKUP(A36,LineItems!D:E,2,FALSE)</f>
        <v>NESCAFE CreamyWhite TP 200x40g</v>
      </c>
      <c r="C36" s="14">
        <f>F36</f>
        <v>13.4536</v>
      </c>
      <c r="D36" s="13">
        <f>VLOOKUP(A36,data!A:D,4,FALSE)</f>
        <v>200</v>
      </c>
      <c r="E36" s="13">
        <f>VLOOKUP(A36,data!A:E,5,FALSE)</f>
        <v>10</v>
      </c>
      <c r="F36" s="15">
        <f>VLOOKUP(A36,LineItems!D:I,6,FALSE) / VLOOKUP(A36,LineItems!D:I,5,FALSE)</f>
        <v>13.4536</v>
      </c>
      <c r="G36" s="16" t="str">
        <f xml:space="preserve"> IF((VLOOKUP(A36,data!A:C,3,FALSE)-F36)=0,"No Change","Price Changed")</f>
        <v>No Change</v>
      </c>
    </row>
    <row r="37" spans="1:7" x14ac:dyDescent="0.2">
      <c r="A37" s="13">
        <v>12604369</v>
      </c>
      <c r="B37" s="13" t="str">
        <f>VLOOKUP(A37,LineItems!D:E,2,FALSE)</f>
        <v>NESCAFE Creamylatte TP 200x40g</v>
      </c>
      <c r="C37" s="14">
        <f>F37</f>
        <v>13.4536</v>
      </c>
      <c r="D37" s="13">
        <f>VLOOKUP(A37,data!A:D,4,FALSE)</f>
        <v>200</v>
      </c>
      <c r="E37" s="13">
        <f>VLOOKUP(A37,data!A:E,5,FALSE)</f>
        <v>10</v>
      </c>
      <c r="F37" s="15">
        <f>VLOOKUP(A37,LineItems!D:I,6,FALSE) / VLOOKUP(A37,LineItems!D:I,5,FALSE)</f>
        <v>13.4536</v>
      </c>
      <c r="G37" s="16" t="str">
        <f xml:space="preserve"> IF((VLOOKUP(A37,data!A:C,3,FALSE)-F37)=0,"No Change","Price Changed")</f>
        <v>No Change</v>
      </c>
    </row>
    <row r="38" spans="1:7" x14ac:dyDescent="0.2">
      <c r="A38" s="13">
        <v>12604377</v>
      </c>
      <c r="B38" s="13" t="str">
        <f>VLOOKUP(A38,LineItems!D:E,2,FALSE)</f>
        <v>NESCAFE Original TP 200x40g</v>
      </c>
      <c r="C38" s="14">
        <f>F38</f>
        <v>13.453999999999999</v>
      </c>
      <c r="D38" s="13">
        <f>VLOOKUP(A38,data!A:D,4,FALSE)</f>
        <v>200</v>
      </c>
      <c r="E38" s="13">
        <f>VLOOKUP(A38,data!A:E,5,FALSE)</f>
        <v>10</v>
      </c>
      <c r="F38" s="15">
        <f>VLOOKUP(A38,LineItems!D:I,6,FALSE) / VLOOKUP(A38,LineItems!D:I,5,FALSE)</f>
        <v>13.453999999999999</v>
      </c>
      <c r="G38" s="16" t="str">
        <f xml:space="preserve"> IF((VLOOKUP(A38,data!A:C,3,FALSE)-F38)=0,"No Change","Price Changed")</f>
        <v>No Change</v>
      </c>
    </row>
    <row r="39" spans="1:7" x14ac:dyDescent="0.2">
      <c r="A39" s="13">
        <v>12604416</v>
      </c>
      <c r="B39" s="13" t="str">
        <f>VLOOKUP(A39,LineItems!D:E,2,FALSE)</f>
        <v>NESCAFE Original 520x20g PH</v>
      </c>
      <c r="C39" s="14">
        <f>F39</f>
        <v>7.4450000000000003</v>
      </c>
      <c r="D39" s="13">
        <f>VLOOKUP(A39,data!A:D,4,FALSE)</f>
        <v>520</v>
      </c>
      <c r="E39" s="13">
        <f>VLOOKUP(A39,data!A:E,5,FALSE)</f>
        <v>10</v>
      </c>
      <c r="F39" s="15">
        <f>VLOOKUP(A39,LineItems!D:I,6,FALSE) / VLOOKUP(A39,LineItems!D:I,5,FALSE)</f>
        <v>7.4450000000000003</v>
      </c>
      <c r="G39" s="16" t="str">
        <f xml:space="preserve"> IF((VLOOKUP(A39,data!A:C,3,FALSE)-F39)=0,"No Change","Price Changed")</f>
        <v>No Change</v>
      </c>
    </row>
    <row r="40" spans="1:7" x14ac:dyDescent="0.2">
      <c r="A40" s="13">
        <v>12604418</v>
      </c>
      <c r="B40" s="13" t="str">
        <f>VLOOKUP(A40,LineItems!D:E,2,FALSE)</f>
        <v>NESCAFE Creamylatte 240x20g PH</v>
      </c>
      <c r="C40" s="14">
        <f>F40</f>
        <v>8.278666666666668</v>
      </c>
      <c r="D40" s="13">
        <f>VLOOKUP(A40,data!A:D,4,FALSE)</f>
        <v>240</v>
      </c>
      <c r="E40" s="13">
        <f>VLOOKUP(A40,data!A:E,5,FALSE)</f>
        <v>10</v>
      </c>
      <c r="F40" s="15">
        <f>VLOOKUP(A40,LineItems!D:I,6,FALSE) / VLOOKUP(A40,LineItems!D:I,5,FALSE)</f>
        <v>8.278666666666668</v>
      </c>
      <c r="G40" s="16" t="str">
        <f xml:space="preserve"> IF((VLOOKUP(A40,data!A:C,3,FALSE)-F40)=0,"No Change","Price Changed")</f>
        <v>No Change</v>
      </c>
    </row>
    <row r="41" spans="1:7" hidden="1" x14ac:dyDescent="0.2">
      <c r="A41" s="13">
        <v>12605969</v>
      </c>
      <c r="B41" s="13" t="str">
        <f>VLOOKUP(A41,LineItems!D:E,2,FALSE)</f>
        <v>NESTEA Lemon 144x19g PH</v>
      </c>
      <c r="C41" s="14">
        <f>F41</f>
        <v>18.75</v>
      </c>
      <c r="D41" s="13">
        <f>VLOOKUP(A41,data!A:D,4,FALSE)</f>
        <v>144</v>
      </c>
      <c r="E41" s="13">
        <f>VLOOKUP(A41,data!A:E,5,FALSE)</f>
        <v>12</v>
      </c>
      <c r="F41" s="15">
        <f>VLOOKUP(A41,LineItems!D:I,6,FALSE) / VLOOKUP(A41,LineItems!D:I,5,FALSE)</f>
        <v>18.75</v>
      </c>
      <c r="G41" s="16" t="str">
        <f xml:space="preserve"> IF((VLOOKUP(A41,data!A:C,3,FALSE)-F41)=0,"No Change","Price Changed")</f>
        <v>No Change</v>
      </c>
    </row>
    <row r="42" spans="1:7" hidden="1" x14ac:dyDescent="0.2">
      <c r="A42" s="13">
        <v>12605994</v>
      </c>
      <c r="B42" s="13" t="str">
        <f>VLOOKUP(A42,LineItems!D:E,2,FALSE)</f>
        <v>NESTEA Apple 144x19g PH</v>
      </c>
      <c r="C42" s="14">
        <f>F42</f>
        <v>18.75</v>
      </c>
      <c r="D42" s="13">
        <f>VLOOKUP(A42,data!A:D,4,FALSE)</f>
        <v>144</v>
      </c>
      <c r="E42" s="13">
        <f>VLOOKUP(A42,data!A:E,5,FALSE)</f>
        <v>12</v>
      </c>
      <c r="F42" s="15">
        <f>VLOOKUP(A42,LineItems!D:I,6,FALSE) / VLOOKUP(A42,LineItems!D:I,5,FALSE)</f>
        <v>18.75</v>
      </c>
      <c r="G42" s="16" t="str">
        <f xml:space="preserve"> IF((VLOOKUP(A42,data!A:C,3,FALSE)-F42)=0,"No Change","Price Changed")</f>
        <v>No Change</v>
      </c>
    </row>
    <row r="43" spans="1:7" hidden="1" x14ac:dyDescent="0.2">
      <c r="A43" s="13">
        <v>12608789</v>
      </c>
      <c r="B43" s="13" t="str">
        <f>VLOOKUP(A43,LineItems!D:E,2,FALSE)</f>
        <v>NESTOGEN 6-12 MONTHS 20x340g</v>
      </c>
      <c r="C43" s="14">
        <f>F43</f>
        <v>188.785</v>
      </c>
      <c r="D43" s="13">
        <f>VLOOKUP(A43,data!A:D,4,FALSE)</f>
        <v>20</v>
      </c>
      <c r="E43" s="13">
        <f>VLOOKUP(A43,data!A:E,5,FALSE)</f>
        <v>1</v>
      </c>
      <c r="F43" s="15">
        <f>VLOOKUP(A43,LineItems!D:I,6,FALSE) / VLOOKUP(A43,LineItems!D:I,5,FALSE)</f>
        <v>188.785</v>
      </c>
      <c r="G43" s="16" t="str">
        <f xml:space="preserve"> IF((VLOOKUP(A43,data!A:C,3,FALSE)-F43)=0,"No Change","Price Changed")</f>
        <v>No Change</v>
      </c>
    </row>
    <row r="44" spans="1:7" x14ac:dyDescent="0.2">
      <c r="A44" s="13">
        <v>12608916</v>
      </c>
      <c r="B44" s="13" t="str">
        <f>VLOOKUP(A44,LineItems!D:E,2,FALSE)</f>
        <v>NESTOGEN 1-3 YEARS 20x340g</v>
      </c>
      <c r="C44" s="14">
        <f>F44</f>
        <v>184.0675</v>
      </c>
      <c r="D44" s="13">
        <f>VLOOKUP(A44,data!A:D,4,FALSE)</f>
        <v>20</v>
      </c>
      <c r="E44" s="13">
        <f>VLOOKUP(A44,data!A:E,5,FALSE)</f>
        <v>1</v>
      </c>
      <c r="F44" s="15">
        <f>VLOOKUP(A44,LineItems!D:I,6,FALSE) / VLOOKUP(A44,LineItems!D:I,5,FALSE)</f>
        <v>184.0675</v>
      </c>
      <c r="G44" s="16" t="str">
        <f xml:space="preserve"> IF((VLOOKUP(A44,data!A:C,3,FALSE)-F44)=0,"No Change","Price Changed")</f>
        <v>No Change</v>
      </c>
    </row>
    <row r="45" spans="1:7" x14ac:dyDescent="0.2">
      <c r="A45" s="13">
        <v>12612370</v>
      </c>
      <c r="B45" s="13" t="str">
        <f>VLOOKUP(A45,LineItems!D:E,2,FALSE)</f>
        <v>CHUCKIE PaperStraw 60x110ml</v>
      </c>
      <c r="C45" s="14">
        <f>F45</f>
        <v>13.531666666666666</v>
      </c>
      <c r="D45" s="13">
        <f>VLOOKUP(A45,data!A:D,4,FALSE)</f>
        <v>60</v>
      </c>
      <c r="E45" s="13">
        <f>VLOOKUP(A45,data!A:E,5,FALSE)</f>
        <v>1</v>
      </c>
      <c r="F45" s="15">
        <f>VLOOKUP(A45,LineItems!D:I,6,FALSE) / VLOOKUP(A45,LineItems!D:I,5,FALSE)</f>
        <v>13.531666666666666</v>
      </c>
      <c r="G45" s="16" t="str">
        <f xml:space="preserve"> IF((VLOOKUP(A45,data!A:C,3,FALSE)-F45)=0,"No Change","Price Changed")</f>
        <v>No Change</v>
      </c>
    </row>
    <row r="46" spans="1:7" hidden="1" x14ac:dyDescent="0.2">
      <c r="A46" s="13">
        <v>12612587</v>
      </c>
      <c r="B46" s="13" t="str">
        <f>VLOOKUP(A46,LineItems!D:E,2,FALSE)</f>
        <v>NIDO 3+ PHANFB071 BIB 20x370g</v>
      </c>
      <c r="C46" s="14">
        <f>F46</f>
        <v>250.13333333333333</v>
      </c>
      <c r="D46" s="13">
        <f>VLOOKUP(A46,data!A:D,4,FALSE)</f>
        <v>20</v>
      </c>
      <c r="E46" s="13">
        <f>VLOOKUP(A46,data!A:E,5,FALSE)</f>
        <v>1</v>
      </c>
      <c r="F46" s="15">
        <f>VLOOKUP(A46,LineItems!D:I,6,FALSE) / VLOOKUP(A46,LineItems!D:I,5,FALSE)</f>
        <v>250.13333333333333</v>
      </c>
      <c r="G46" s="16" t="str">
        <f xml:space="preserve"> IF((VLOOKUP(A46,data!A:C,3,FALSE)-F46)=0,"No Change","Price Changed")</f>
        <v>No Change</v>
      </c>
    </row>
    <row r="47" spans="1:7" x14ac:dyDescent="0.2">
      <c r="A47" s="13">
        <v>12613402</v>
      </c>
      <c r="B47" s="13" t="str">
        <f>VLOOKUP(A47,LineItems!D:E,2,FALSE)</f>
        <v>NESCAFE CLSSCSticks 21(48x1.9g</v>
      </c>
      <c r="C47" s="14">
        <f>F47</f>
        <v>3.0533333333333332</v>
      </c>
      <c r="D47" s="13">
        <f>VLOOKUP(A47,data!A:D,4,FALSE)</f>
        <v>1008</v>
      </c>
      <c r="E47" s="13">
        <f>VLOOKUP(A47,data!A:E,5,FALSE)</f>
        <v>48</v>
      </c>
      <c r="F47" s="15">
        <f>VLOOKUP(A47,LineItems!D:I,6,FALSE) / VLOOKUP(A47,LineItems!D:I,5,FALSE)</f>
        <v>3.0533333333333332</v>
      </c>
      <c r="G47" s="16" t="str">
        <f xml:space="preserve"> IF((VLOOKUP(A47,data!A:C,3,FALSE)-F47)=0,"No Change","Price Changed")</f>
        <v>No Change</v>
      </c>
    </row>
    <row r="48" spans="1:7" x14ac:dyDescent="0.2">
      <c r="A48" s="13">
        <v>12614144</v>
      </c>
      <c r="B48" s="13" t="str">
        <f>VLOOKUP(A48,LineItems!D:E,2,FALSE)</f>
        <v>NESCAFE CLASSIC 60x40g</v>
      </c>
      <c r="C48" s="14">
        <f>F48</f>
        <v>50.933999999999997</v>
      </c>
      <c r="D48" s="13">
        <f>VLOOKUP(A48,data!A:D,4,FALSE)</f>
        <v>60</v>
      </c>
      <c r="E48" s="13">
        <f>VLOOKUP(A48,data!A:E,5,FALSE)</f>
        <v>1</v>
      </c>
      <c r="F48" s="15">
        <f>VLOOKUP(A48,LineItems!D:I,6,FALSE) / VLOOKUP(A48,LineItems!D:I,5,FALSE)</f>
        <v>50.933999999999997</v>
      </c>
      <c r="G48" s="16" t="str">
        <f xml:space="preserve"> IF((VLOOKUP(A48,data!A:C,3,FALSE)-F48)=0,"No Change","Price Changed")</f>
        <v>No Change</v>
      </c>
    </row>
    <row r="49" spans="1:7" hidden="1" x14ac:dyDescent="0.2">
      <c r="A49" s="13">
        <v>12618899</v>
      </c>
      <c r="B49" s="13" t="str">
        <f>VLOOKUP(A49,LineItems!D:E,2,FALSE)</f>
        <v>CHUCKIE 36x180 ml PH</v>
      </c>
      <c r="C49" s="14">
        <f>F49</f>
        <v>22.006666666666664</v>
      </c>
      <c r="D49" s="13">
        <f>VLOOKUP(A49,data!A:D,4,FALSE)</f>
        <v>36</v>
      </c>
      <c r="E49" s="13">
        <f>VLOOKUP(A49,data!A:E,5,FALSE)</f>
        <v>1</v>
      </c>
      <c r="F49" s="15">
        <f>VLOOKUP(A49,LineItems!D:I,6,FALSE) / VLOOKUP(A49,LineItems!D:I,5,FALSE)</f>
        <v>22.006666666666664</v>
      </c>
      <c r="G49" s="16" t="str">
        <f xml:space="preserve"> IF((VLOOKUP(A49,data!A:C,3,FALSE)-F49)=0,"No Change","Price Changed")</f>
        <v>No Change</v>
      </c>
    </row>
    <row r="50" spans="1:7" x14ac:dyDescent="0.2">
      <c r="A50" s="13">
        <v>12618906</v>
      </c>
      <c r="B50" s="13" t="str">
        <f>VLOOKUP(A50,LineItems!D:E,2,FALSE)</f>
        <v>CHUCKIE 6(6x180ml)BaonSaversPH</v>
      </c>
      <c r="C50" s="14">
        <f>F50</f>
        <v>118.49000000000001</v>
      </c>
      <c r="D50" s="13">
        <f>VLOOKUP(A50,data!A:D,4,FALSE)</f>
        <v>6</v>
      </c>
      <c r="E50" s="13">
        <f>VLOOKUP(A50,data!A:E,5,FALSE)</f>
        <v>1</v>
      </c>
      <c r="F50" s="15">
        <f>VLOOKUP(A50,LineItems!D:I,6,FALSE) / VLOOKUP(A50,LineItems!D:I,5,FALSE)</f>
        <v>118.49000000000001</v>
      </c>
      <c r="G50" s="16" t="str">
        <f xml:space="preserve"> IF((VLOOKUP(A50,data!A:C,3,FALSE)-F50)=0,"No Change","Price Changed")</f>
        <v>No Change</v>
      </c>
    </row>
    <row r="51" spans="1:7" hidden="1" x14ac:dyDescent="0.2">
      <c r="A51" s="13">
        <v>12618910</v>
      </c>
      <c r="B51" s="13" t="str">
        <f>VLOOKUP(A51,LineItems!D:E,2,FALSE)</f>
        <v>CHUCKIE 10(6x110ml)BaonSavers</v>
      </c>
      <c r="C51" s="14">
        <f>F51</f>
        <v>78.569999999999993</v>
      </c>
      <c r="D51" s="13">
        <f>VLOOKUP(A51,data!A:D,4,FALSE)</f>
        <v>10</v>
      </c>
      <c r="E51" s="13">
        <f>VLOOKUP(A51,data!A:E,5,FALSE)</f>
        <v>1</v>
      </c>
      <c r="F51" s="15">
        <f>VLOOKUP(A51,LineItems!D:I,6,FALSE) / VLOOKUP(A51,LineItems!D:I,5,FALSE)</f>
        <v>78.569999999999993</v>
      </c>
      <c r="G51" s="16" t="str">
        <f xml:space="preserve"> IF((VLOOKUP(A51,data!A:C,3,FALSE)-F51)=0,"No Change","Price Changed")</f>
        <v>No Change</v>
      </c>
    </row>
    <row r="52" spans="1:7" x14ac:dyDescent="0.2">
      <c r="A52" s="13">
        <v>12618913</v>
      </c>
      <c r="B52" s="13" t="str">
        <f>VLOOKUP(A52,LineItems!D:E,2,FALSE)</f>
        <v>CHUCKIE 9(4x180ml) PH</v>
      </c>
      <c r="C52" s="14">
        <f>F52</f>
        <v>85.223333333333329</v>
      </c>
      <c r="D52" s="13">
        <f>VLOOKUP(A52,data!A:D,4,FALSE)</f>
        <v>9</v>
      </c>
      <c r="E52" s="13">
        <f>VLOOKUP(A52,data!A:E,5,FALSE)</f>
        <v>1</v>
      </c>
      <c r="F52" s="15">
        <f>VLOOKUP(A52,LineItems!D:I,6,FALSE) / VLOOKUP(A52,LineItems!D:I,5,FALSE)</f>
        <v>85.223333333333329</v>
      </c>
      <c r="G52" s="16" t="str">
        <f xml:space="preserve"> IF((VLOOKUP(A52,data!A:C,3,FALSE)-F52)=0,"No Change","Price Changed")</f>
        <v>No Change</v>
      </c>
    </row>
    <row r="53" spans="1:7" x14ac:dyDescent="0.2">
      <c r="A53" s="13">
        <v>12623528</v>
      </c>
      <c r="B53" s="13" t="str">
        <f>VLOOKUP(A53,LineItems!D:E,2,FALSE)</f>
        <v>BEARBRAND ADULT Plus 24(8x33g)</v>
      </c>
      <c r="C53" s="14">
        <f>F53</f>
        <v>14.068000000000001</v>
      </c>
      <c r="D53" s="13">
        <f>VLOOKUP(A53,data!A:D,4,FALSE)</f>
        <v>192</v>
      </c>
      <c r="E53" s="13">
        <f>VLOOKUP(A53,data!A:E,5,FALSE)</f>
        <v>8</v>
      </c>
      <c r="F53" s="15">
        <f>VLOOKUP(A53,LineItems!D:I,6,FALSE) / VLOOKUP(A53,LineItems!D:I,5,FALSE)</f>
        <v>14.068000000000001</v>
      </c>
      <c r="G53" s="16" t="str">
        <f xml:space="preserve"> IF((VLOOKUP(A53,data!A:C,3,FALSE)-F53)=0,"No Change","Price Changed")</f>
        <v>No Change</v>
      </c>
    </row>
    <row r="54" spans="1:7" x14ac:dyDescent="0.2">
      <c r="A54" s="13">
        <v>12629431</v>
      </c>
      <c r="B54" s="13" t="str">
        <f>VLOOKUP(A54,LineItems!D:E,2,FALSE)</f>
        <v>MAGGIMAGICSARAP30(30x8g)PR20Yr</v>
      </c>
      <c r="C54" s="14">
        <f>F54</f>
        <v>124.40666666666668</v>
      </c>
      <c r="D54" s="13">
        <f>VLOOKUP(A54,data!A:D,4,FALSE)</f>
        <v>30</v>
      </c>
      <c r="E54" s="13">
        <f>VLOOKUP(A54,data!A:E,5,FALSE)</f>
        <v>1</v>
      </c>
      <c r="F54" s="15">
        <f>VLOOKUP(A54,LineItems!D:I,6,FALSE) / VLOOKUP(A54,LineItems!D:I,5,FALSE)</f>
        <v>124.40666666666668</v>
      </c>
      <c r="G54" s="16" t="str">
        <f xml:space="preserve"> IF((VLOOKUP(A54,data!A:C,3,FALSE)-F54)=0,"No Change","Price Changed")</f>
        <v>No Change</v>
      </c>
    </row>
    <row r="55" spans="1:7" x14ac:dyDescent="0.2">
      <c r="A55" s="13">
        <v>13123548</v>
      </c>
      <c r="B55" s="13" t="str">
        <f>VLOOKUP(A55,LineItems!D:E,2,FALSE)</f>
        <v>MILOChocoMlt42(12x24g)99.95SRP</v>
      </c>
      <c r="C55" s="14">
        <f>F55</f>
        <v>96.325000000000003</v>
      </c>
      <c r="D55" s="13">
        <f>VLOOKUP(A55,data!A:D,4,FALSE)</f>
        <v>42</v>
      </c>
      <c r="E55" s="13">
        <f>VLOOKUP(A55,data!A:E,5,FALSE)</f>
        <v>1</v>
      </c>
      <c r="F55" s="15">
        <f>VLOOKUP(A55,LineItems!D:I,6,FALSE) / VLOOKUP(A55,LineItems!D:I,5,FALSE)</f>
        <v>96.325000000000003</v>
      </c>
      <c r="G55" s="16" t="str">
        <f xml:space="preserve"> IF((VLOOKUP(A55,data!A:C,3,FALSE)-F55)=0,"No Change","Price Changed")</f>
        <v>No Change</v>
      </c>
    </row>
    <row r="56" spans="1:7" x14ac:dyDescent="0.2">
      <c r="A56" s="13">
        <v>13176910</v>
      </c>
      <c r="B56" s="13" t="str">
        <f>VLOOKUP(A56,LineItems!D:E,2,FALSE)</f>
        <v>BEAR BRAND CHOCO 29g 10 at 99</v>
      </c>
      <c r="C56" s="14">
        <f>F56</f>
        <v>94.995000000000005</v>
      </c>
      <c r="D56" s="13">
        <f>VLOOKUP(A56,data!A:D,4,FALSE)</f>
        <v>19</v>
      </c>
      <c r="E56" s="13">
        <f>VLOOKUP(A56,data!A:E,5,FALSE)</f>
        <v>1</v>
      </c>
      <c r="F56" s="15">
        <f>VLOOKUP(A56,LineItems!D:I,6,FALSE) / VLOOKUP(A56,LineItems!D:I,5,FALSE)</f>
        <v>94.995000000000005</v>
      </c>
      <c r="G56" s="16" t="str">
        <f xml:space="preserve"> IF((VLOOKUP(A56,data!A:C,3,FALSE)-F56)=0,"No Change","Price Changed")</f>
        <v>No Change</v>
      </c>
    </row>
    <row r="57" spans="1:7" x14ac:dyDescent="0.2">
      <c r="A57" s="13">
        <v>14037789</v>
      </c>
      <c r="B57" s="13" t="str">
        <f>VLOOKUP(A57,LineItems!D:E,2,FALSE)</f>
        <v>CrmyWhiteTP16(10x40gFr2BB33gPR</v>
      </c>
      <c r="C57" s="14">
        <f>F57</f>
        <v>134.53</v>
      </c>
      <c r="D57" s="13">
        <f>VLOOKUP(A57,data!A:D,4,FALSE)</f>
        <v>16</v>
      </c>
      <c r="E57" s="13">
        <f>VLOOKUP(A57,data!A:E,5,FALSE)</f>
        <v>1</v>
      </c>
      <c r="F57" s="15">
        <f>VLOOKUP(A57,LineItems!D:I,6,FALSE) / VLOOKUP(A57,LineItems!D:I,5,FALSE)</f>
        <v>134.53</v>
      </c>
      <c r="G57" s="16" t="str">
        <f xml:space="preserve"> IF((VLOOKUP(A57,data!A:C,3,FALSE)-F57)=0,"No Change","Price Changed")</f>
        <v>No Change</v>
      </c>
    </row>
    <row r="58" spans="1:7" x14ac:dyDescent="0.2">
      <c r="A58" s="13">
        <v>14038791</v>
      </c>
      <c r="B58" s="13" t="str">
        <f>VLOOKUP(A58,LineItems!D:E,2,FALSE)</f>
        <v>OriginalTP20(10x40gBuy10Sv20PR</v>
      </c>
      <c r="C58" s="14">
        <f>F58</f>
        <v>114.33599999999998</v>
      </c>
      <c r="D58" s="13">
        <f>VLOOKUP(A58,data!A:D,4,FALSE)</f>
        <v>20</v>
      </c>
      <c r="E58" s="13">
        <f>VLOOKUP(A58,data!A:E,5,FALSE)</f>
        <v>1</v>
      </c>
      <c r="F58" s="15">
        <f>VLOOKUP(A58,LineItems!D:I,6,FALSE) / VLOOKUP(A58,LineItems!D:I,5,FALSE)</f>
        <v>114.33599999999998</v>
      </c>
      <c r="G58" s="16" t="str">
        <f xml:space="preserve"> IF((VLOOKUP(A58,data!A:C,3,FALSE)-F58)=0,"No Change","Price Changed")</f>
        <v>No Change</v>
      </c>
    </row>
    <row r="59" spans="1:7" x14ac:dyDescent="0.2">
      <c r="A59" s="13">
        <v>14471625</v>
      </c>
      <c r="B59" s="13" t="str">
        <f>VLOOKUP(A59,LineItems!D:E,2,FALSE)</f>
        <v>NESTEA Apple P99 Pack</v>
      </c>
      <c r="C59" s="14">
        <f>F59</f>
        <v>95.2</v>
      </c>
      <c r="D59" s="13">
        <f>VLOOKUP(A59,data!A:D,4,FALSE)</f>
        <v>24</v>
      </c>
      <c r="E59" s="13">
        <f>VLOOKUP(A59,data!A:E,5,FALSE)</f>
        <v>1</v>
      </c>
      <c r="F59" s="15">
        <f>VLOOKUP(A59,LineItems!D:I,6,FALSE) / VLOOKUP(A59,LineItems!D:I,5,FALSE)</f>
        <v>95.2</v>
      </c>
      <c r="G59" s="16" t="str">
        <f xml:space="preserve"> IF((VLOOKUP(A59,data!A:C,3,FALSE)-F59)=0,"No Change","Price Changed")</f>
        <v>No Change</v>
      </c>
    </row>
    <row r="60" spans="1:7" x14ac:dyDescent="0.2">
      <c r="B60" s="13" t="e">
        <f>VLOOKUP(A60,LineItems!D:E,2,FALSE)</f>
        <v>#N/A</v>
      </c>
      <c r="C60" s="14" t="e">
        <f>F60</f>
        <v>#N/A</v>
      </c>
      <c r="D60" s="13" t="e">
        <f>VLOOKUP(A60,data!A:D,4,FALSE)</f>
        <v>#N/A</v>
      </c>
      <c r="E60" s="13" t="e">
        <f>VLOOKUP(A60,data!A:E,5,FALSE)</f>
        <v>#N/A</v>
      </c>
      <c r="F60" s="15" t="e">
        <f>VLOOKUP(A60,LineItems!D:I,6,FALSE) / VLOOKUP(A60,LineItems!D:I,5,FALSE)</f>
        <v>#N/A</v>
      </c>
      <c r="G60" s="16" t="e">
        <f xml:space="preserve"> IF((VLOOKUP(A60,data!A:C,3,FALSE)-F60)=0,"No Change","Price Changed")</f>
        <v>#N/A</v>
      </c>
    </row>
    <row r="61" spans="1:7" x14ac:dyDescent="0.2">
      <c r="B61" s="13" t="e">
        <f>VLOOKUP(A61,LineItems!D:E,2,FALSE)</f>
        <v>#N/A</v>
      </c>
      <c r="C61" s="14" t="e">
        <f>F61</f>
        <v>#N/A</v>
      </c>
      <c r="D61" s="13" t="e">
        <f>VLOOKUP(A61,data!A:D,4,FALSE)</f>
        <v>#N/A</v>
      </c>
      <c r="E61" s="13" t="e">
        <f>VLOOKUP(A61,data!A:E,5,FALSE)</f>
        <v>#N/A</v>
      </c>
      <c r="F61" s="15" t="e">
        <f>VLOOKUP(A61,LineItems!D:I,6,FALSE) / VLOOKUP(A61,LineItems!D:I,5,FALSE)</f>
        <v>#N/A</v>
      </c>
      <c r="G61" s="16" t="e">
        <f xml:space="preserve"> IF((VLOOKUP(A61,data!A:C,3,FALSE)-F61)=0,"No Change","Price Changed")</f>
        <v>#N/A</v>
      </c>
    </row>
    <row r="62" spans="1:7" x14ac:dyDescent="0.2">
      <c r="B62" s="13" t="e">
        <f>VLOOKUP(A62,LineItems!D:E,2,FALSE)</f>
        <v>#N/A</v>
      </c>
      <c r="C62" s="14" t="e">
        <f>F62</f>
        <v>#N/A</v>
      </c>
      <c r="D62" s="13" t="e">
        <f>VLOOKUP(A62,data!A:D,4,FALSE)</f>
        <v>#N/A</v>
      </c>
      <c r="E62" s="13" t="e">
        <f>VLOOKUP(A62,data!A:E,5,FALSE)</f>
        <v>#N/A</v>
      </c>
      <c r="F62" s="15" t="e">
        <f>VLOOKUP(A62,LineItems!D:I,6,FALSE) / VLOOKUP(A62,LineItems!D:I,5,FALSE)</f>
        <v>#N/A</v>
      </c>
      <c r="G62" s="16" t="e">
        <f xml:space="preserve"> IF((VLOOKUP(A62,data!A:C,3,FALSE)-F62)=0,"No Change","Price Changed")</f>
        <v>#N/A</v>
      </c>
    </row>
    <row r="63" spans="1:7" x14ac:dyDescent="0.2">
      <c r="B63" s="13" t="e">
        <f>VLOOKUP(A63,LineItems!D:E,2,FALSE)</f>
        <v>#N/A</v>
      </c>
      <c r="C63" s="14" t="e">
        <f>F63</f>
        <v>#N/A</v>
      </c>
      <c r="D63" s="13" t="e">
        <f>VLOOKUP(A63,data!A:D,4,FALSE)</f>
        <v>#N/A</v>
      </c>
      <c r="E63" s="13" t="e">
        <f>VLOOKUP(A63,data!A:E,5,FALSE)</f>
        <v>#N/A</v>
      </c>
      <c r="F63" s="15" t="e">
        <f>VLOOKUP(A63,LineItems!D:I,6,FALSE) / VLOOKUP(A63,LineItems!D:I,5,FALSE)</f>
        <v>#N/A</v>
      </c>
      <c r="G63" s="16" t="e">
        <f xml:space="preserve"> IF((VLOOKUP(A63,data!A:C,3,FALSE)-F63)=0,"No Change","Price Changed")</f>
        <v>#N/A</v>
      </c>
    </row>
    <row r="64" spans="1:7" x14ac:dyDescent="0.2">
      <c r="B64" s="13" t="e">
        <f>VLOOKUP(A64,LineItems!D:E,2,FALSE)</f>
        <v>#N/A</v>
      </c>
      <c r="C64" s="14" t="e">
        <f>F64</f>
        <v>#N/A</v>
      </c>
      <c r="D64" s="13" t="e">
        <f>VLOOKUP(A64,data!A:D,4,FALSE)</f>
        <v>#N/A</v>
      </c>
      <c r="E64" s="13" t="e">
        <f>VLOOKUP(A64,data!A:E,5,FALSE)</f>
        <v>#N/A</v>
      </c>
      <c r="F64" s="15" t="e">
        <f>VLOOKUP(A64,LineItems!D:I,6,FALSE) / VLOOKUP(A64,LineItems!D:I,5,FALSE)</f>
        <v>#N/A</v>
      </c>
      <c r="G64" s="16" t="e">
        <f xml:space="preserve"> IF((VLOOKUP(A64,data!A:C,3,FALSE)-F64)=0,"No Change","Price Changed")</f>
        <v>#N/A</v>
      </c>
    </row>
    <row r="65" spans="2:7" x14ac:dyDescent="0.2">
      <c r="B65" s="13" t="e">
        <f>VLOOKUP(A65,LineItems!D:E,2,FALSE)</f>
        <v>#N/A</v>
      </c>
      <c r="C65" s="14" t="e">
        <f>F65</f>
        <v>#N/A</v>
      </c>
      <c r="D65" s="13" t="e">
        <f>VLOOKUP(A65,data!A:D,4,FALSE)</f>
        <v>#N/A</v>
      </c>
      <c r="E65" s="13" t="e">
        <f>VLOOKUP(A65,data!A:E,5,FALSE)</f>
        <v>#N/A</v>
      </c>
      <c r="F65" s="15" t="e">
        <f>VLOOKUP(A65,LineItems!D:I,6,FALSE) / VLOOKUP(A65,LineItems!D:I,5,FALSE)</f>
        <v>#N/A</v>
      </c>
      <c r="G65" s="16" t="e">
        <f xml:space="preserve"> IF((VLOOKUP(A65,data!A:C,3,FALSE)-F65)=0,"No Change","Price Changed")</f>
        <v>#N/A</v>
      </c>
    </row>
    <row r="66" spans="2:7" x14ac:dyDescent="0.2">
      <c r="B66" s="13" t="e">
        <f>VLOOKUP(A66,LineItems!D:E,2,FALSE)</f>
        <v>#N/A</v>
      </c>
      <c r="C66" s="14" t="e">
        <f>F66</f>
        <v>#N/A</v>
      </c>
      <c r="D66" s="13" t="e">
        <f>VLOOKUP(A66,data!A:D,4,FALSE)</f>
        <v>#N/A</v>
      </c>
      <c r="E66" s="13" t="e">
        <f>VLOOKUP(A66,data!A:E,5,FALSE)</f>
        <v>#N/A</v>
      </c>
      <c r="F66" s="15" t="e">
        <f>VLOOKUP(A66,LineItems!D:I,6,FALSE) / VLOOKUP(A66,LineItems!D:I,5,FALSE)</f>
        <v>#N/A</v>
      </c>
      <c r="G66" s="16" t="e">
        <f xml:space="preserve"> IF((VLOOKUP(A66,data!A:C,3,FALSE)-F66)=0,"No Change","Price Changed")</f>
        <v>#N/A</v>
      </c>
    </row>
    <row r="67" spans="2:7" x14ac:dyDescent="0.2">
      <c r="B67" s="13" t="e">
        <f>VLOOKUP(A67,LineItems!D:E,2,FALSE)</f>
        <v>#N/A</v>
      </c>
      <c r="C67" s="14" t="e">
        <f>F67</f>
        <v>#N/A</v>
      </c>
      <c r="D67" s="13" t="e">
        <f>VLOOKUP(A67,data!A:D,4,FALSE)</f>
        <v>#N/A</v>
      </c>
      <c r="E67" s="13" t="e">
        <f>VLOOKUP(A67,data!A:E,5,FALSE)</f>
        <v>#N/A</v>
      </c>
      <c r="F67" s="15" t="e">
        <f>VLOOKUP(A67,LineItems!D:I,6,FALSE) / VLOOKUP(A67,LineItems!D:I,5,FALSE)</f>
        <v>#N/A</v>
      </c>
      <c r="G67" s="16" t="e">
        <f xml:space="preserve"> IF((VLOOKUP(A67,data!A:C,3,FALSE)-F67)=0,"No Change","Price Changed")</f>
        <v>#N/A</v>
      </c>
    </row>
    <row r="68" spans="2:7" x14ac:dyDescent="0.2">
      <c r="B68" s="13" t="e">
        <f>VLOOKUP(A68,LineItems!D:E,2,FALSE)</f>
        <v>#N/A</v>
      </c>
      <c r="C68" s="14" t="e">
        <f>F68</f>
        <v>#N/A</v>
      </c>
      <c r="D68" s="13" t="e">
        <f>VLOOKUP(A68,data!A:D,4,FALSE)</f>
        <v>#N/A</v>
      </c>
      <c r="E68" s="13" t="e">
        <f>VLOOKUP(A68,data!A:E,5,FALSE)</f>
        <v>#N/A</v>
      </c>
      <c r="F68" s="15" t="e">
        <f>VLOOKUP(A68,LineItems!D:I,6,FALSE) / VLOOKUP(A68,LineItems!D:I,5,FALSE)</f>
        <v>#N/A</v>
      </c>
      <c r="G68" s="16" t="e">
        <f xml:space="preserve"> IF((VLOOKUP(A68,data!A:C,3,FALSE)-F68)=0,"No Change","Price Changed")</f>
        <v>#N/A</v>
      </c>
    </row>
    <row r="69" spans="2:7" x14ac:dyDescent="0.2">
      <c r="B69" s="13" t="e">
        <f>VLOOKUP(A69,LineItems!D:E,2,FALSE)</f>
        <v>#N/A</v>
      </c>
      <c r="C69" s="14" t="e">
        <f>F69</f>
        <v>#N/A</v>
      </c>
      <c r="D69" s="13" t="e">
        <f>VLOOKUP(A69,data!A:D,4,FALSE)</f>
        <v>#N/A</v>
      </c>
      <c r="E69" s="13" t="e">
        <f>VLOOKUP(A69,data!A:E,5,FALSE)</f>
        <v>#N/A</v>
      </c>
      <c r="F69" s="15" t="e">
        <f>VLOOKUP(A69,LineItems!D:I,6,FALSE) / VLOOKUP(A69,LineItems!D:I,5,FALSE)</f>
        <v>#N/A</v>
      </c>
      <c r="G69" s="16" t="e">
        <f xml:space="preserve"> IF((VLOOKUP(A69,data!A:C,3,FALSE)-F69)=0,"No Change","Price Changed")</f>
        <v>#N/A</v>
      </c>
    </row>
    <row r="70" spans="2:7" x14ac:dyDescent="0.2">
      <c r="B70" s="13" t="e">
        <f>VLOOKUP(A70,LineItems!D:E,2,FALSE)</f>
        <v>#N/A</v>
      </c>
      <c r="C70" s="14" t="e">
        <f>F70</f>
        <v>#N/A</v>
      </c>
      <c r="D70" s="13" t="e">
        <f>VLOOKUP(A70,data!A:D,4,FALSE)</f>
        <v>#N/A</v>
      </c>
      <c r="E70" s="13" t="e">
        <f>VLOOKUP(A70,data!A:E,5,FALSE)</f>
        <v>#N/A</v>
      </c>
      <c r="F70" s="15" t="e">
        <f>VLOOKUP(A70,LineItems!D:I,6,FALSE) / VLOOKUP(A70,LineItems!D:I,5,FALSE)</f>
        <v>#N/A</v>
      </c>
      <c r="G70" s="16" t="e">
        <f xml:space="preserve"> IF((VLOOKUP(A70,data!A:C,3,FALSE)-F70)=0,"No Change","Price Changed")</f>
        <v>#N/A</v>
      </c>
    </row>
    <row r="71" spans="2:7" x14ac:dyDescent="0.2">
      <c r="B71" s="13" t="e">
        <f>VLOOKUP(A71,LineItems!D:E,2,FALSE)</f>
        <v>#N/A</v>
      </c>
      <c r="C71" s="14" t="e">
        <f>F71</f>
        <v>#N/A</v>
      </c>
      <c r="D71" s="13" t="e">
        <f>VLOOKUP(A71,data!A:D,4,FALSE)</f>
        <v>#N/A</v>
      </c>
      <c r="E71" s="13" t="e">
        <f>VLOOKUP(A71,data!A:E,5,FALSE)</f>
        <v>#N/A</v>
      </c>
      <c r="F71" s="15" t="e">
        <f>VLOOKUP(A71,LineItems!D:I,6,FALSE) / VLOOKUP(A71,LineItems!D:I,5,FALSE)</f>
        <v>#N/A</v>
      </c>
      <c r="G71" s="16" t="e">
        <f xml:space="preserve"> IF((VLOOKUP(A71,data!A:C,3,FALSE)-F71)=0,"No Change","Price Changed")</f>
        <v>#N/A</v>
      </c>
    </row>
    <row r="72" spans="2:7" x14ac:dyDescent="0.2">
      <c r="B72" s="13" t="e">
        <f>VLOOKUP(A72,LineItems!D:E,2,FALSE)</f>
        <v>#N/A</v>
      </c>
      <c r="C72" s="14" t="e">
        <f>F72</f>
        <v>#N/A</v>
      </c>
      <c r="D72" s="13" t="e">
        <f>VLOOKUP(A72,data!A:D,4,FALSE)</f>
        <v>#N/A</v>
      </c>
      <c r="E72" s="13" t="e">
        <f>VLOOKUP(A72,data!A:E,5,FALSE)</f>
        <v>#N/A</v>
      </c>
      <c r="F72" s="15" t="e">
        <f>VLOOKUP(A72,LineItems!D:I,6,FALSE) / VLOOKUP(A72,LineItems!D:I,5,FALSE)</f>
        <v>#N/A</v>
      </c>
      <c r="G72" s="16" t="e">
        <f xml:space="preserve"> IF((VLOOKUP(A72,data!A:C,3,FALSE)-F72)=0,"No Change","Price Changed")</f>
        <v>#N/A</v>
      </c>
    </row>
    <row r="73" spans="2:7" x14ac:dyDescent="0.2">
      <c r="B73" s="13" t="e">
        <f>VLOOKUP(A73,LineItems!D:E,2,FALSE)</f>
        <v>#N/A</v>
      </c>
      <c r="C73" s="14" t="e">
        <f>F73</f>
        <v>#N/A</v>
      </c>
      <c r="D73" s="13" t="e">
        <f>VLOOKUP(A73,data!A:D,4,FALSE)</f>
        <v>#N/A</v>
      </c>
      <c r="E73" s="13" t="e">
        <f>VLOOKUP(A73,data!A:E,5,FALSE)</f>
        <v>#N/A</v>
      </c>
      <c r="F73" s="15" t="e">
        <f>VLOOKUP(A73,LineItems!D:I,6,FALSE) / VLOOKUP(A73,LineItems!D:I,5,FALSE)</f>
        <v>#N/A</v>
      </c>
      <c r="G73" s="16" t="e">
        <f xml:space="preserve"> IF((VLOOKUP(A73,data!A:C,3,FALSE)-F73)=0,"No Change","Price Changed")</f>
        <v>#N/A</v>
      </c>
    </row>
    <row r="74" spans="2:7" x14ac:dyDescent="0.2">
      <c r="B74" s="13" t="e">
        <f>VLOOKUP(A74,LineItems!D:E,2,FALSE)</f>
        <v>#N/A</v>
      </c>
      <c r="C74" s="14" t="e">
        <f>F74</f>
        <v>#N/A</v>
      </c>
      <c r="D74" s="13" t="e">
        <f>VLOOKUP(A74,data!A:D,4,FALSE)</f>
        <v>#N/A</v>
      </c>
      <c r="E74" s="13" t="e">
        <f>VLOOKUP(A74,data!A:E,5,FALSE)</f>
        <v>#N/A</v>
      </c>
      <c r="F74" s="15" t="e">
        <f>VLOOKUP(A74,LineItems!D:I,6,FALSE) / VLOOKUP(A74,LineItems!D:I,5,FALSE)</f>
        <v>#N/A</v>
      </c>
      <c r="G74" s="16" t="e">
        <f xml:space="preserve"> IF((VLOOKUP(A74,data!A:C,3,FALSE)-F74)=0,"No Change","Price Changed")</f>
        <v>#N/A</v>
      </c>
    </row>
    <row r="75" spans="2:7" x14ac:dyDescent="0.2">
      <c r="B75" s="13" t="e">
        <f>VLOOKUP(A75,LineItems!D:E,2,FALSE)</f>
        <v>#N/A</v>
      </c>
      <c r="C75" s="14" t="e">
        <f>F75</f>
        <v>#N/A</v>
      </c>
      <c r="D75" s="13" t="e">
        <f>VLOOKUP(A75,data!A:D,4,FALSE)</f>
        <v>#N/A</v>
      </c>
      <c r="E75" s="13" t="e">
        <f>VLOOKUP(A75,data!A:E,5,FALSE)</f>
        <v>#N/A</v>
      </c>
      <c r="F75" s="15" t="e">
        <f>VLOOKUP(A75,LineItems!D:I,6,FALSE) / VLOOKUP(A75,LineItems!D:I,5,FALSE)</f>
        <v>#N/A</v>
      </c>
      <c r="G75" s="16" t="e">
        <f xml:space="preserve"> IF((VLOOKUP(A75,data!A:C,3,FALSE)-F75)=0,"No Change","Price Changed")</f>
        <v>#N/A</v>
      </c>
    </row>
    <row r="76" spans="2:7" x14ac:dyDescent="0.2">
      <c r="B76" s="13" t="e">
        <f>VLOOKUP(A76,LineItems!D:E,2,FALSE)</f>
        <v>#N/A</v>
      </c>
      <c r="C76" s="14" t="e">
        <f>F76</f>
        <v>#N/A</v>
      </c>
      <c r="D76" s="13" t="e">
        <f>VLOOKUP(A76,data!A:D,4,FALSE)</f>
        <v>#N/A</v>
      </c>
      <c r="E76" s="13" t="e">
        <f>VLOOKUP(A76,data!A:E,5,FALSE)</f>
        <v>#N/A</v>
      </c>
      <c r="F76" s="15" t="e">
        <f>VLOOKUP(A76,LineItems!D:I,6,FALSE) / VLOOKUP(A76,LineItems!D:I,5,FALSE)</f>
        <v>#N/A</v>
      </c>
      <c r="G76" s="16" t="e">
        <f xml:space="preserve"> IF((VLOOKUP(A76,data!A:C,3,FALSE)-F76)=0,"No Change","Price Changed")</f>
        <v>#N/A</v>
      </c>
    </row>
    <row r="77" spans="2:7" x14ac:dyDescent="0.2">
      <c r="B77" s="13" t="e">
        <f>VLOOKUP(A77,LineItems!D:E,2,FALSE)</f>
        <v>#N/A</v>
      </c>
      <c r="C77" s="14" t="e">
        <f>F77</f>
        <v>#N/A</v>
      </c>
      <c r="D77" s="13" t="e">
        <f>VLOOKUP(A77,data!A:D,4,FALSE)</f>
        <v>#N/A</v>
      </c>
      <c r="E77" s="13" t="e">
        <f>VLOOKUP(A77,data!A:E,5,FALSE)</f>
        <v>#N/A</v>
      </c>
      <c r="F77" s="15" t="e">
        <f>VLOOKUP(A77,LineItems!D:I,6,FALSE) / VLOOKUP(A77,LineItems!D:I,5,FALSE)</f>
        <v>#N/A</v>
      </c>
      <c r="G77" s="16" t="e">
        <f xml:space="preserve"> IF((VLOOKUP(A77,data!A:C,3,FALSE)-F77)=0,"No Change","Price Changed")</f>
        <v>#N/A</v>
      </c>
    </row>
    <row r="78" spans="2:7" x14ac:dyDescent="0.2">
      <c r="B78" s="13" t="e">
        <f>VLOOKUP(A78,LineItems!D:E,2,FALSE)</f>
        <v>#N/A</v>
      </c>
      <c r="C78" s="14" t="e">
        <f>F78</f>
        <v>#N/A</v>
      </c>
      <c r="D78" s="13" t="e">
        <f>VLOOKUP(A78,data!A:D,4,FALSE)</f>
        <v>#N/A</v>
      </c>
      <c r="E78" s="13" t="e">
        <f>VLOOKUP(A78,data!A:E,5,FALSE)</f>
        <v>#N/A</v>
      </c>
      <c r="F78" s="15" t="e">
        <f>VLOOKUP(A78,LineItems!D:I,6,FALSE) / VLOOKUP(A78,LineItems!D:I,5,FALSE)</f>
        <v>#N/A</v>
      </c>
      <c r="G78" s="16" t="e">
        <f xml:space="preserve"> IF((VLOOKUP(A78,data!A:C,3,FALSE)-F78)=0,"No Change","Price Changed")</f>
        <v>#N/A</v>
      </c>
    </row>
    <row r="79" spans="2:7" x14ac:dyDescent="0.2">
      <c r="B79" s="13" t="e">
        <f>VLOOKUP(A79,LineItems!D:E,2,FALSE)</f>
        <v>#N/A</v>
      </c>
      <c r="C79" s="14" t="e">
        <f>F79</f>
        <v>#N/A</v>
      </c>
      <c r="D79" s="13" t="e">
        <f>VLOOKUP(A79,data!A:D,4,FALSE)</f>
        <v>#N/A</v>
      </c>
      <c r="E79" s="13" t="e">
        <f>VLOOKUP(A79,data!A:E,5,FALSE)</f>
        <v>#N/A</v>
      </c>
      <c r="F79" s="15" t="e">
        <f>VLOOKUP(A79,LineItems!D:I,6,FALSE) / VLOOKUP(A79,LineItems!D:I,5,FALSE)</f>
        <v>#N/A</v>
      </c>
      <c r="G79" s="16" t="e">
        <f xml:space="preserve"> IF((VLOOKUP(A79,data!A:C,3,FALSE)-F79)=0,"No Change","Price Changed")</f>
        <v>#N/A</v>
      </c>
    </row>
    <row r="80" spans="2:7" x14ac:dyDescent="0.2">
      <c r="B80" s="13" t="e">
        <f>VLOOKUP(A80,LineItems!D:E,2,FALSE)</f>
        <v>#N/A</v>
      </c>
      <c r="C80" s="14" t="e">
        <f>F80</f>
        <v>#N/A</v>
      </c>
      <c r="D80" s="13" t="e">
        <f>VLOOKUP(A80,data!A:D,4,FALSE)</f>
        <v>#N/A</v>
      </c>
      <c r="E80" s="13" t="e">
        <f>VLOOKUP(A80,data!A:E,5,FALSE)</f>
        <v>#N/A</v>
      </c>
      <c r="F80" s="15" t="e">
        <f>VLOOKUP(A80,LineItems!D:I,6,FALSE) / VLOOKUP(A80,LineItems!D:I,5,FALSE)</f>
        <v>#N/A</v>
      </c>
      <c r="G80" s="16" t="e">
        <f xml:space="preserve"> IF((VLOOKUP(A80,data!A:C,3,FALSE)-F80)=0,"No Change","Price Changed")</f>
        <v>#N/A</v>
      </c>
    </row>
    <row r="81" spans="2:7" x14ac:dyDescent="0.2">
      <c r="B81" s="13" t="e">
        <f>VLOOKUP(A81,LineItems!D:E,2,FALSE)</f>
        <v>#N/A</v>
      </c>
      <c r="C81" s="14" t="e">
        <f>F81</f>
        <v>#N/A</v>
      </c>
      <c r="D81" s="13" t="e">
        <f>VLOOKUP(A81,data!A:D,4,FALSE)</f>
        <v>#N/A</v>
      </c>
      <c r="E81" s="13" t="e">
        <f>VLOOKUP(A81,data!A:E,5,FALSE)</f>
        <v>#N/A</v>
      </c>
      <c r="F81" s="15" t="e">
        <f>VLOOKUP(A81,LineItems!D:I,6,FALSE) / VLOOKUP(A81,LineItems!D:I,5,FALSE)</f>
        <v>#N/A</v>
      </c>
      <c r="G81" s="16" t="e">
        <f xml:space="preserve"> IF((VLOOKUP(A81,data!A:C,3,FALSE)-F81)=0,"No Change","Price Changed")</f>
        <v>#N/A</v>
      </c>
    </row>
    <row r="82" spans="2:7" x14ac:dyDescent="0.2">
      <c r="B82" s="13" t="e">
        <f>VLOOKUP(A82,LineItems!D:E,2,FALSE)</f>
        <v>#N/A</v>
      </c>
      <c r="C82" s="14" t="e">
        <f>F82</f>
        <v>#N/A</v>
      </c>
      <c r="D82" s="13" t="e">
        <f>VLOOKUP(A82,data!A:D,4,FALSE)</f>
        <v>#N/A</v>
      </c>
      <c r="E82" s="13" t="e">
        <f>VLOOKUP(A82,data!A:E,5,FALSE)</f>
        <v>#N/A</v>
      </c>
      <c r="F82" s="15" t="e">
        <f>VLOOKUP(A82,LineItems!D:I,6,FALSE) / VLOOKUP(A82,LineItems!D:I,5,FALSE)</f>
        <v>#N/A</v>
      </c>
      <c r="G82" s="16" t="e">
        <f xml:space="preserve"> IF((VLOOKUP(A82,data!A:C,3,FALSE)-F82)=0,"No Change","Price Changed")</f>
        <v>#N/A</v>
      </c>
    </row>
    <row r="83" spans="2:7" x14ac:dyDescent="0.2">
      <c r="B83" s="13" t="e">
        <f>VLOOKUP(A83,LineItems!D:E,2,FALSE)</f>
        <v>#N/A</v>
      </c>
      <c r="C83" s="14" t="e">
        <f>F83</f>
        <v>#N/A</v>
      </c>
      <c r="D83" s="13" t="e">
        <f>VLOOKUP(A83,data!A:D,4,FALSE)</f>
        <v>#N/A</v>
      </c>
      <c r="E83" s="13" t="e">
        <f>VLOOKUP(A83,data!A:E,5,FALSE)</f>
        <v>#N/A</v>
      </c>
      <c r="F83" s="15" t="e">
        <f>VLOOKUP(A83,LineItems!D:I,6,FALSE) / VLOOKUP(A83,LineItems!D:I,5,FALSE)</f>
        <v>#N/A</v>
      </c>
      <c r="G83" s="16" t="e">
        <f xml:space="preserve"> IF((VLOOKUP(A83,data!A:C,3,FALSE)-F83)=0,"No Change","Price Changed")</f>
        <v>#N/A</v>
      </c>
    </row>
    <row r="84" spans="2:7" x14ac:dyDescent="0.2">
      <c r="B84" s="13" t="e">
        <f>VLOOKUP(A84,LineItems!D:E,2,FALSE)</f>
        <v>#N/A</v>
      </c>
      <c r="C84" s="14" t="e">
        <f>F84</f>
        <v>#N/A</v>
      </c>
      <c r="D84" s="13" t="e">
        <f>VLOOKUP(A84,data!A:D,4,FALSE)</f>
        <v>#N/A</v>
      </c>
      <c r="E84" s="13" t="e">
        <f>VLOOKUP(A84,data!A:E,5,FALSE)</f>
        <v>#N/A</v>
      </c>
      <c r="F84" s="15" t="e">
        <f>VLOOKUP(A84,LineItems!D:I,6,FALSE) / VLOOKUP(A84,LineItems!D:I,5,FALSE)</f>
        <v>#N/A</v>
      </c>
      <c r="G84" s="16" t="e">
        <f xml:space="preserve"> IF((VLOOKUP(A84,data!A:C,3,FALSE)-F84)=0,"No Change","Price Changed")</f>
        <v>#N/A</v>
      </c>
    </row>
    <row r="85" spans="2:7" x14ac:dyDescent="0.2">
      <c r="B85" s="13" t="e">
        <f>VLOOKUP(A85,LineItems!D:E,2,FALSE)</f>
        <v>#N/A</v>
      </c>
      <c r="C85" s="14" t="e">
        <f>F85</f>
        <v>#N/A</v>
      </c>
      <c r="D85" s="13" t="e">
        <f>VLOOKUP(A85,data!A:D,4,FALSE)</f>
        <v>#N/A</v>
      </c>
      <c r="E85" s="13" t="e">
        <f>VLOOKUP(A85,data!A:E,5,FALSE)</f>
        <v>#N/A</v>
      </c>
      <c r="F85" s="15" t="e">
        <f>VLOOKUP(A85,LineItems!D:I,6,FALSE) / VLOOKUP(A85,LineItems!D:I,5,FALSE)</f>
        <v>#N/A</v>
      </c>
      <c r="G85" s="16" t="e">
        <f xml:space="preserve"> IF((VLOOKUP(A85,data!A:C,3,FALSE)-F85)=0,"No Change","Price Changed")</f>
        <v>#N/A</v>
      </c>
    </row>
    <row r="86" spans="2:7" x14ac:dyDescent="0.2">
      <c r="B86" s="13" t="e">
        <f>VLOOKUP(A86,LineItems!D:E,2,FALSE)</f>
        <v>#N/A</v>
      </c>
      <c r="C86" s="14" t="e">
        <f>F86</f>
        <v>#N/A</v>
      </c>
      <c r="D86" s="13" t="e">
        <f>VLOOKUP(A86,data!A:D,4,FALSE)</f>
        <v>#N/A</v>
      </c>
      <c r="E86" s="13" t="e">
        <f>VLOOKUP(A86,data!A:E,5,FALSE)</f>
        <v>#N/A</v>
      </c>
      <c r="F86" s="15" t="e">
        <f>VLOOKUP(A86,LineItems!D:I,6,FALSE) / VLOOKUP(A86,LineItems!D:I,5,FALSE)</f>
        <v>#N/A</v>
      </c>
      <c r="G86" s="16" t="e">
        <f xml:space="preserve"> IF((VLOOKUP(A86,data!A:C,3,FALSE)-F86)=0,"No Change","Price Changed")</f>
        <v>#N/A</v>
      </c>
    </row>
    <row r="87" spans="2:7" x14ac:dyDescent="0.2">
      <c r="B87" s="13" t="e">
        <f>VLOOKUP(A87,LineItems!D:E,2,FALSE)</f>
        <v>#N/A</v>
      </c>
      <c r="C87" s="14" t="e">
        <f>F87</f>
        <v>#N/A</v>
      </c>
      <c r="D87" s="13" t="e">
        <f>VLOOKUP(A87,data!A:D,4,FALSE)</f>
        <v>#N/A</v>
      </c>
      <c r="E87" s="13" t="e">
        <f>VLOOKUP(A87,data!A:E,5,FALSE)</f>
        <v>#N/A</v>
      </c>
      <c r="F87" s="15" t="e">
        <f>VLOOKUP(A87,LineItems!D:I,6,FALSE) / VLOOKUP(A87,LineItems!D:I,5,FALSE)</f>
        <v>#N/A</v>
      </c>
      <c r="G87" s="16" t="e">
        <f xml:space="preserve"> IF((VLOOKUP(A87,data!A:C,3,FALSE)-F87)=0,"No Change","Price Changed")</f>
        <v>#N/A</v>
      </c>
    </row>
    <row r="88" spans="2:7" x14ac:dyDescent="0.2">
      <c r="B88" s="13" t="e">
        <f>VLOOKUP(A88,LineItems!D:E,2,FALSE)</f>
        <v>#N/A</v>
      </c>
      <c r="C88" s="14" t="e">
        <f>F88</f>
        <v>#N/A</v>
      </c>
      <c r="D88" s="13" t="e">
        <f>VLOOKUP(A88,data!A:D,4,FALSE)</f>
        <v>#N/A</v>
      </c>
      <c r="E88" s="13" t="e">
        <f>VLOOKUP(A88,data!A:E,5,FALSE)</f>
        <v>#N/A</v>
      </c>
      <c r="F88" s="15" t="e">
        <f>VLOOKUP(A88,LineItems!D:I,6,FALSE) / VLOOKUP(A88,LineItems!D:I,5,FALSE)</f>
        <v>#N/A</v>
      </c>
      <c r="G88" s="16" t="e">
        <f xml:space="preserve"> IF((VLOOKUP(A88,data!A:C,3,FALSE)-F88)=0,"No Change","Price Changed")</f>
        <v>#N/A</v>
      </c>
    </row>
    <row r="89" spans="2:7" x14ac:dyDescent="0.2">
      <c r="B89" s="13" t="e">
        <f>VLOOKUP(A89,LineItems!D:E,2,FALSE)</f>
        <v>#N/A</v>
      </c>
      <c r="C89" s="14" t="e">
        <f>F89</f>
        <v>#N/A</v>
      </c>
      <c r="D89" s="13" t="e">
        <f>VLOOKUP(A89,data!A:D,4,FALSE)</f>
        <v>#N/A</v>
      </c>
      <c r="E89" s="13" t="e">
        <f>VLOOKUP(A89,data!A:E,5,FALSE)</f>
        <v>#N/A</v>
      </c>
      <c r="F89" s="15" t="e">
        <f>VLOOKUP(A89,LineItems!D:I,6,FALSE) / VLOOKUP(A89,LineItems!D:I,5,FALSE)</f>
        <v>#N/A</v>
      </c>
      <c r="G89" s="16" t="e">
        <f xml:space="preserve"> IF((VLOOKUP(A89,data!A:C,3,FALSE)-F89)=0,"No Change","Price Changed")</f>
        <v>#N/A</v>
      </c>
    </row>
    <row r="90" spans="2:7" x14ac:dyDescent="0.2">
      <c r="B90" s="13" t="e">
        <f>VLOOKUP(A90,LineItems!D:E,2,FALSE)</f>
        <v>#N/A</v>
      </c>
      <c r="C90" s="14" t="e">
        <f>F90</f>
        <v>#N/A</v>
      </c>
      <c r="D90" s="13" t="e">
        <f>VLOOKUP(A90,data!A:D,4,FALSE)</f>
        <v>#N/A</v>
      </c>
      <c r="E90" s="13" t="e">
        <f>VLOOKUP(A90,data!A:E,5,FALSE)</f>
        <v>#N/A</v>
      </c>
      <c r="F90" s="15" t="e">
        <f>VLOOKUP(A90,LineItems!D:I,6,FALSE) / VLOOKUP(A90,LineItems!D:I,5,FALSE)</f>
        <v>#N/A</v>
      </c>
      <c r="G90" s="16" t="e">
        <f xml:space="preserve"> IF((VLOOKUP(A90,data!A:C,3,FALSE)-F90)=0,"No Change","Price Changed")</f>
        <v>#N/A</v>
      </c>
    </row>
    <row r="91" spans="2:7" x14ac:dyDescent="0.2">
      <c r="B91" s="13" t="e">
        <f>VLOOKUP(A91,LineItems!D:E,2,FALSE)</f>
        <v>#N/A</v>
      </c>
      <c r="C91" s="14" t="e">
        <f>F91</f>
        <v>#N/A</v>
      </c>
      <c r="D91" s="13" t="e">
        <f>VLOOKUP(A91,data!A:D,4,FALSE)</f>
        <v>#N/A</v>
      </c>
      <c r="E91" s="13" t="e">
        <f>VLOOKUP(A91,data!A:E,5,FALSE)</f>
        <v>#N/A</v>
      </c>
      <c r="F91" s="15" t="e">
        <f>VLOOKUP(A91,LineItems!D:I,6,FALSE) / VLOOKUP(A91,LineItems!D:I,5,FALSE)</f>
        <v>#N/A</v>
      </c>
      <c r="G91" s="16" t="e">
        <f xml:space="preserve"> IF((VLOOKUP(A91,data!A:C,3,FALSE)-F91)=0,"No Change","Price Changed")</f>
        <v>#N/A</v>
      </c>
    </row>
    <row r="92" spans="2:7" x14ac:dyDescent="0.2">
      <c r="B92" s="13" t="e">
        <f>VLOOKUP(A92,LineItems!D:E,2,FALSE)</f>
        <v>#N/A</v>
      </c>
      <c r="C92" s="14" t="e">
        <f>F92</f>
        <v>#N/A</v>
      </c>
      <c r="D92" s="13" t="e">
        <f>VLOOKUP(A92,data!A:D,4,FALSE)</f>
        <v>#N/A</v>
      </c>
      <c r="E92" s="13" t="e">
        <f>VLOOKUP(A92,data!A:E,5,FALSE)</f>
        <v>#N/A</v>
      </c>
      <c r="F92" s="15" t="e">
        <f>VLOOKUP(A92,LineItems!D:I,6,FALSE) / VLOOKUP(A92,LineItems!D:I,5,FALSE)</f>
        <v>#N/A</v>
      </c>
      <c r="G92" s="16" t="e">
        <f xml:space="preserve"> IF((VLOOKUP(A92,data!A:C,3,FALSE)-F92)=0,"No Change","Price Changed")</f>
        <v>#N/A</v>
      </c>
    </row>
    <row r="93" spans="2:7" x14ac:dyDescent="0.2">
      <c r="B93" s="13" t="e">
        <f>VLOOKUP(A93,LineItems!D:E,2,FALSE)</f>
        <v>#N/A</v>
      </c>
      <c r="C93" s="14" t="e">
        <f>F93</f>
        <v>#N/A</v>
      </c>
      <c r="D93" s="13" t="e">
        <f>VLOOKUP(A93,data!A:D,4,FALSE)</f>
        <v>#N/A</v>
      </c>
      <c r="E93" s="13" t="e">
        <f>VLOOKUP(A93,data!A:E,5,FALSE)</f>
        <v>#N/A</v>
      </c>
      <c r="F93" s="15" t="e">
        <f>VLOOKUP(A93,LineItems!D:I,6,FALSE) / VLOOKUP(A93,LineItems!D:I,5,FALSE)</f>
        <v>#N/A</v>
      </c>
      <c r="G93" s="16" t="e">
        <f xml:space="preserve"> IF((VLOOKUP(A93,data!A:C,3,FALSE)-F93)=0,"No Change","Price Changed")</f>
        <v>#N/A</v>
      </c>
    </row>
    <row r="94" spans="2:7" x14ac:dyDescent="0.2">
      <c r="B94" s="13" t="e">
        <f>VLOOKUP(A94,LineItems!D:E,2,FALSE)</f>
        <v>#N/A</v>
      </c>
      <c r="C94" s="14" t="e">
        <f>F94</f>
        <v>#N/A</v>
      </c>
      <c r="D94" s="13" t="e">
        <f>VLOOKUP(A94,data!A:D,4,FALSE)</f>
        <v>#N/A</v>
      </c>
      <c r="E94" s="13" t="e">
        <f>VLOOKUP(A94,data!A:E,5,FALSE)</f>
        <v>#N/A</v>
      </c>
      <c r="F94" s="15" t="e">
        <f>VLOOKUP(A94,LineItems!D:I,6,FALSE) / VLOOKUP(A94,LineItems!D:I,5,FALSE)</f>
        <v>#N/A</v>
      </c>
      <c r="G94" s="16" t="e">
        <f xml:space="preserve"> IF((VLOOKUP(A94,data!A:C,3,FALSE)-F94)=0,"No Change","Price Changed")</f>
        <v>#N/A</v>
      </c>
    </row>
    <row r="95" spans="2:7" x14ac:dyDescent="0.2">
      <c r="B95" s="13" t="e">
        <f>VLOOKUP(A95,LineItems!D:E,2,FALSE)</f>
        <v>#N/A</v>
      </c>
      <c r="C95" s="14" t="e">
        <f>F95</f>
        <v>#N/A</v>
      </c>
      <c r="D95" s="13" t="e">
        <f>VLOOKUP(A95,data!A:D,4,FALSE)</f>
        <v>#N/A</v>
      </c>
      <c r="E95" s="13" t="e">
        <f>VLOOKUP(A95,data!A:E,5,FALSE)</f>
        <v>#N/A</v>
      </c>
      <c r="F95" s="15" t="e">
        <f>VLOOKUP(A95,LineItems!D:I,6,FALSE) / VLOOKUP(A95,LineItems!D:I,5,FALSE)</f>
        <v>#N/A</v>
      </c>
      <c r="G95" s="16" t="e">
        <f xml:space="preserve"> IF((VLOOKUP(A95,data!A:C,3,FALSE)-F95)=0,"No Change","Price Changed")</f>
        <v>#N/A</v>
      </c>
    </row>
    <row r="96" spans="2:7" x14ac:dyDescent="0.2">
      <c r="B96" s="13" t="e">
        <f>VLOOKUP(A96,LineItems!D:E,2,FALSE)</f>
        <v>#N/A</v>
      </c>
      <c r="C96" s="14" t="e">
        <f>F96</f>
        <v>#N/A</v>
      </c>
      <c r="D96" s="13" t="e">
        <f>VLOOKUP(A96,data!A:D,4,FALSE)</f>
        <v>#N/A</v>
      </c>
      <c r="E96" s="13" t="e">
        <f>VLOOKUP(A96,data!A:E,5,FALSE)</f>
        <v>#N/A</v>
      </c>
      <c r="F96" s="15" t="e">
        <f>VLOOKUP(A96,LineItems!D:I,6,FALSE) / VLOOKUP(A96,LineItems!D:I,5,FALSE)</f>
        <v>#N/A</v>
      </c>
      <c r="G96" s="16" t="e">
        <f xml:space="preserve"> IF((VLOOKUP(A96,data!A:C,3,FALSE)-F96)=0,"No Change","Price Changed")</f>
        <v>#N/A</v>
      </c>
    </row>
    <row r="97" spans="2:7" x14ac:dyDescent="0.2">
      <c r="B97" s="13" t="e">
        <f>VLOOKUP(A97,LineItems!D:E,2,FALSE)</f>
        <v>#N/A</v>
      </c>
      <c r="C97" s="14" t="e">
        <f>F97</f>
        <v>#N/A</v>
      </c>
      <c r="D97" s="13" t="e">
        <f>VLOOKUP(A97,data!A:D,4,FALSE)</f>
        <v>#N/A</v>
      </c>
      <c r="E97" s="13" t="e">
        <f>VLOOKUP(A97,data!A:E,5,FALSE)</f>
        <v>#N/A</v>
      </c>
      <c r="F97" s="15" t="e">
        <f>VLOOKUP(A97,LineItems!D:I,6,FALSE) / VLOOKUP(A97,LineItems!D:I,5,FALSE)</f>
        <v>#N/A</v>
      </c>
      <c r="G97" s="16" t="e">
        <f xml:space="preserve"> IF((VLOOKUP(A97,data!A:C,3,FALSE)-F97)=0,"No Change","Price Changed")</f>
        <v>#N/A</v>
      </c>
    </row>
    <row r="98" spans="2:7" x14ac:dyDescent="0.2">
      <c r="B98" s="13" t="e">
        <f>VLOOKUP(A98,LineItems!D:E,2,FALSE)</f>
        <v>#N/A</v>
      </c>
      <c r="C98" s="14" t="e">
        <f>F98</f>
        <v>#N/A</v>
      </c>
      <c r="D98" s="13" t="e">
        <f>VLOOKUP(A98,data!A:D,4,FALSE)</f>
        <v>#N/A</v>
      </c>
      <c r="E98" s="13" t="e">
        <f>VLOOKUP(A98,data!A:E,5,FALSE)</f>
        <v>#N/A</v>
      </c>
      <c r="F98" s="15" t="e">
        <f>VLOOKUP(A98,LineItems!D:I,6,FALSE) / VLOOKUP(A98,LineItems!D:I,5,FALSE)</f>
        <v>#N/A</v>
      </c>
      <c r="G98" s="16" t="e">
        <f xml:space="preserve"> IF((VLOOKUP(A98,data!A:C,3,FALSE)-F98)=0,"No Change","Price Changed")</f>
        <v>#N/A</v>
      </c>
    </row>
    <row r="99" spans="2:7" x14ac:dyDescent="0.2">
      <c r="B99" s="13" t="e">
        <f>VLOOKUP(A99,LineItems!D:E,2,FALSE)</f>
        <v>#N/A</v>
      </c>
      <c r="C99" s="14" t="e">
        <f>F99</f>
        <v>#N/A</v>
      </c>
      <c r="D99" s="13" t="e">
        <f>VLOOKUP(A99,data!A:D,4,FALSE)</f>
        <v>#N/A</v>
      </c>
      <c r="E99" s="13" t="e">
        <f>VLOOKUP(A99,data!A:E,5,FALSE)</f>
        <v>#N/A</v>
      </c>
      <c r="F99" s="15" t="e">
        <f>VLOOKUP(A99,LineItems!D:I,6,FALSE) / VLOOKUP(A99,LineItems!D:I,5,FALSE)</f>
        <v>#N/A</v>
      </c>
      <c r="G99" s="16" t="e">
        <f xml:space="preserve"> IF((VLOOKUP(A99,data!A:C,3,FALSE)-F99)=0,"No Change","Price Changed")</f>
        <v>#N/A</v>
      </c>
    </row>
    <row r="100" spans="2:7" x14ac:dyDescent="0.2">
      <c r="B100" s="13" t="e">
        <f>VLOOKUP(A100,LineItems!D:E,2,FALSE)</f>
        <v>#N/A</v>
      </c>
      <c r="C100" s="14" t="e">
        <f>F100</f>
        <v>#N/A</v>
      </c>
      <c r="D100" s="13" t="e">
        <f>VLOOKUP(A100,data!A:D,4,FALSE)</f>
        <v>#N/A</v>
      </c>
      <c r="E100" s="13" t="e">
        <f>VLOOKUP(A100,data!A:E,5,FALSE)</f>
        <v>#N/A</v>
      </c>
      <c r="F100" s="15" t="e">
        <f>VLOOKUP(A100,LineItems!D:I,6,FALSE) / VLOOKUP(A100,LineItems!D:I,5,FALSE)</f>
        <v>#N/A</v>
      </c>
      <c r="G100" s="16" t="e">
        <f xml:space="preserve"> IF((VLOOKUP(A100,data!A:C,3,FALSE)-F100)=0,"No Change","Price Changed")</f>
        <v>#N/A</v>
      </c>
    </row>
    <row r="101" spans="2:7" x14ac:dyDescent="0.2">
      <c r="B101" s="13" t="e">
        <f>VLOOKUP(A101,LineItems!D:E,2,FALSE)</f>
        <v>#N/A</v>
      </c>
      <c r="C101" s="14" t="e">
        <f>F101</f>
        <v>#N/A</v>
      </c>
      <c r="D101" s="13" t="e">
        <f>VLOOKUP(A101,data!A:D,4,FALSE)</f>
        <v>#N/A</v>
      </c>
      <c r="E101" s="13" t="e">
        <f>VLOOKUP(A101,data!A:E,5,FALSE)</f>
        <v>#N/A</v>
      </c>
      <c r="F101" s="15" t="e">
        <f>VLOOKUP(A101,LineItems!D:I,6,FALSE) / VLOOKUP(A101,LineItems!D:I,5,FALSE)</f>
        <v>#N/A</v>
      </c>
      <c r="G101" s="16" t="e">
        <f xml:space="preserve"> IF((VLOOKUP(A101,data!A:C,3,FALSE)-F101)=0,"No Change","Price Changed")</f>
        <v>#N/A</v>
      </c>
    </row>
    <row r="102" spans="2:7" x14ac:dyDescent="0.2">
      <c r="B102" s="13" t="e">
        <f>VLOOKUP(A102,LineItems!D:E,2,FALSE)</f>
        <v>#N/A</v>
      </c>
      <c r="C102" s="14" t="e">
        <f>F102</f>
        <v>#N/A</v>
      </c>
      <c r="D102" s="13" t="e">
        <f>VLOOKUP(A102,data!A:D,4,FALSE)</f>
        <v>#N/A</v>
      </c>
      <c r="E102" s="13" t="e">
        <f>VLOOKUP(A102,data!A:E,5,FALSE)</f>
        <v>#N/A</v>
      </c>
      <c r="F102" s="15" t="e">
        <f>VLOOKUP(A102,LineItems!D:I,6,FALSE) / VLOOKUP(A102,LineItems!D:I,5,FALSE)</f>
        <v>#N/A</v>
      </c>
      <c r="G102" s="16" t="e">
        <f xml:space="preserve"> IF((VLOOKUP(A102,data!A:C,3,FALSE)-F102)=0,"No Change","Price Changed")</f>
        <v>#N/A</v>
      </c>
    </row>
    <row r="103" spans="2:7" x14ac:dyDescent="0.2">
      <c r="B103" s="13" t="e">
        <f>VLOOKUP(A103,LineItems!D:E,2,FALSE)</f>
        <v>#N/A</v>
      </c>
      <c r="C103" s="14" t="e">
        <f>F103</f>
        <v>#N/A</v>
      </c>
      <c r="D103" s="13" t="e">
        <f>VLOOKUP(A103,data!A:D,4,FALSE)</f>
        <v>#N/A</v>
      </c>
      <c r="E103" s="13" t="e">
        <f>VLOOKUP(A103,data!A:E,5,FALSE)</f>
        <v>#N/A</v>
      </c>
      <c r="F103" s="15" t="e">
        <f>VLOOKUP(A103,LineItems!D:I,6,FALSE) / VLOOKUP(A103,LineItems!D:I,5,FALSE)</f>
        <v>#N/A</v>
      </c>
      <c r="G103" s="16" t="e">
        <f xml:space="preserve"> IF((VLOOKUP(A103,data!A:C,3,FALSE)-F103)=0,"No Change","Price Changed")</f>
        <v>#N/A</v>
      </c>
    </row>
    <row r="104" spans="2:7" x14ac:dyDescent="0.2">
      <c r="B104" s="13" t="e">
        <f>VLOOKUP(A104,LineItems!D:E,2,FALSE)</f>
        <v>#N/A</v>
      </c>
      <c r="C104" s="14" t="e">
        <f>F104</f>
        <v>#N/A</v>
      </c>
      <c r="D104" s="13" t="e">
        <f>VLOOKUP(A104,data!A:D,4,FALSE)</f>
        <v>#N/A</v>
      </c>
      <c r="E104" s="13" t="e">
        <f>VLOOKUP(A104,data!A:E,5,FALSE)</f>
        <v>#N/A</v>
      </c>
      <c r="F104" s="15" t="e">
        <f>VLOOKUP(A104,LineItems!D:I,6,FALSE) / VLOOKUP(A104,LineItems!D:I,5,FALSE)</f>
        <v>#N/A</v>
      </c>
      <c r="G104" s="16" t="e">
        <f xml:space="preserve"> IF((VLOOKUP(A104,data!A:C,3,FALSE)-F104)=0,"No Change","Price Changed")</f>
        <v>#N/A</v>
      </c>
    </row>
    <row r="105" spans="2:7" x14ac:dyDescent="0.2">
      <c r="B105" s="13" t="e">
        <f>VLOOKUP(A105,LineItems!D:E,2,FALSE)</f>
        <v>#N/A</v>
      </c>
      <c r="C105" s="14" t="e">
        <f>F105</f>
        <v>#N/A</v>
      </c>
      <c r="D105" s="13" t="e">
        <f>VLOOKUP(A105,data!A:D,4,FALSE)</f>
        <v>#N/A</v>
      </c>
      <c r="E105" s="13" t="e">
        <f>VLOOKUP(A105,data!A:E,5,FALSE)</f>
        <v>#N/A</v>
      </c>
      <c r="F105" s="15" t="e">
        <f>VLOOKUP(A105,LineItems!D:I,6,FALSE) / VLOOKUP(A105,LineItems!D:I,5,FALSE)</f>
        <v>#N/A</v>
      </c>
      <c r="G105" s="16" t="e">
        <f xml:space="preserve"> IF((VLOOKUP(A105,data!A:C,3,FALSE)-F105)=0,"No Change","Price Changed")</f>
        <v>#N/A</v>
      </c>
    </row>
    <row r="106" spans="2:7" x14ac:dyDescent="0.2">
      <c r="B106" s="13" t="e">
        <f>VLOOKUP(A106,LineItems!D:E,2,FALSE)</f>
        <v>#N/A</v>
      </c>
      <c r="C106" s="14" t="e">
        <f>F106</f>
        <v>#N/A</v>
      </c>
      <c r="D106" s="13" t="e">
        <f>VLOOKUP(A106,data!A:D,4,FALSE)</f>
        <v>#N/A</v>
      </c>
      <c r="E106" s="13" t="e">
        <f>VLOOKUP(A106,data!A:E,5,FALSE)</f>
        <v>#N/A</v>
      </c>
      <c r="F106" s="15" t="e">
        <f>VLOOKUP(A106,LineItems!D:I,6,FALSE) / VLOOKUP(A106,LineItems!D:I,5,FALSE)</f>
        <v>#N/A</v>
      </c>
      <c r="G106" s="16" t="e">
        <f xml:space="preserve"> IF((VLOOKUP(A106,data!A:C,3,FALSE)-F106)=0,"No Change","Price Changed")</f>
        <v>#N/A</v>
      </c>
    </row>
    <row r="107" spans="2:7" x14ac:dyDescent="0.2">
      <c r="B107" s="13" t="e">
        <f>VLOOKUP(A107,LineItems!D:E,2,FALSE)</f>
        <v>#N/A</v>
      </c>
      <c r="C107" s="14" t="e">
        <f>F107</f>
        <v>#N/A</v>
      </c>
      <c r="D107" s="13" t="e">
        <f>VLOOKUP(A107,data!A:D,4,FALSE)</f>
        <v>#N/A</v>
      </c>
      <c r="E107" s="13" t="e">
        <f>VLOOKUP(A107,data!A:E,5,FALSE)</f>
        <v>#N/A</v>
      </c>
      <c r="F107" s="15" t="e">
        <f>VLOOKUP(A107,LineItems!D:I,6,FALSE) / VLOOKUP(A107,LineItems!D:I,5,FALSE)</f>
        <v>#N/A</v>
      </c>
      <c r="G107" s="16" t="e">
        <f xml:space="preserve"> IF((VLOOKUP(A107,data!A:C,3,FALSE)-F107)=0,"No Change","Price Changed")</f>
        <v>#N/A</v>
      </c>
    </row>
    <row r="108" spans="2:7" x14ac:dyDescent="0.2">
      <c r="B108" s="13" t="e">
        <f>VLOOKUP(A108,LineItems!D:E,2,FALSE)</f>
        <v>#N/A</v>
      </c>
      <c r="C108" s="14" t="e">
        <f>F108</f>
        <v>#N/A</v>
      </c>
      <c r="D108" s="13" t="e">
        <f>VLOOKUP(A108,data!A:D,4,FALSE)</f>
        <v>#N/A</v>
      </c>
      <c r="E108" s="13" t="e">
        <f>VLOOKUP(A108,data!A:E,5,FALSE)</f>
        <v>#N/A</v>
      </c>
      <c r="F108" s="15" t="e">
        <f>VLOOKUP(A108,LineItems!D:I,6,FALSE) / VLOOKUP(A108,LineItems!D:I,5,FALSE)</f>
        <v>#N/A</v>
      </c>
      <c r="G108" s="16" t="e">
        <f xml:space="preserve"> IF((VLOOKUP(A108,data!A:C,3,FALSE)-F108)=0,"No Change","Price Changed")</f>
        <v>#N/A</v>
      </c>
    </row>
    <row r="109" spans="2:7" x14ac:dyDescent="0.2">
      <c r="B109" s="13" t="e">
        <f>VLOOKUP(A109,LineItems!D:E,2,FALSE)</f>
        <v>#N/A</v>
      </c>
      <c r="C109" s="14" t="e">
        <f>F109</f>
        <v>#N/A</v>
      </c>
      <c r="D109" s="13" t="e">
        <f>VLOOKUP(A109,data!A:D,4,FALSE)</f>
        <v>#N/A</v>
      </c>
      <c r="E109" s="13" t="e">
        <f>VLOOKUP(A109,data!A:E,5,FALSE)</f>
        <v>#N/A</v>
      </c>
      <c r="F109" s="15" t="e">
        <f>VLOOKUP(A109,LineItems!D:I,6,FALSE) / VLOOKUP(A109,LineItems!D:I,5,FALSE)</f>
        <v>#N/A</v>
      </c>
      <c r="G109" s="16" t="e">
        <f xml:space="preserve"> IF((VLOOKUP(A109,data!A:C,3,FALSE)-F109)=0,"No Change","Price Changed")</f>
        <v>#N/A</v>
      </c>
    </row>
    <row r="110" spans="2:7" x14ac:dyDescent="0.2">
      <c r="B110" s="13" t="e">
        <f>VLOOKUP(A110,LineItems!D:E,2,FALSE)</f>
        <v>#N/A</v>
      </c>
      <c r="C110" s="14" t="e">
        <f>F110</f>
        <v>#N/A</v>
      </c>
      <c r="D110" s="13" t="e">
        <f>VLOOKUP(A110,data!A:D,4,FALSE)</f>
        <v>#N/A</v>
      </c>
      <c r="E110" s="13" t="e">
        <f>VLOOKUP(A110,data!A:E,5,FALSE)</f>
        <v>#N/A</v>
      </c>
      <c r="F110" s="15" t="e">
        <f>VLOOKUP(A110,LineItems!D:I,6,FALSE) / VLOOKUP(A110,LineItems!D:I,5,FALSE)</f>
        <v>#N/A</v>
      </c>
      <c r="G110" s="16" t="e">
        <f xml:space="preserve"> IF((VLOOKUP(A110,data!A:C,3,FALSE)-F110)=0,"No Change","Price Changed")</f>
        <v>#N/A</v>
      </c>
    </row>
    <row r="111" spans="2:7" x14ac:dyDescent="0.2">
      <c r="B111" s="13" t="e">
        <f>VLOOKUP(A111,LineItems!D:E,2,FALSE)</f>
        <v>#N/A</v>
      </c>
      <c r="C111" s="14" t="e">
        <f>F111</f>
        <v>#N/A</v>
      </c>
      <c r="D111" s="13" t="e">
        <f>VLOOKUP(A111,data!A:D,4,FALSE)</f>
        <v>#N/A</v>
      </c>
      <c r="E111" s="13" t="e">
        <f>VLOOKUP(A111,data!A:E,5,FALSE)</f>
        <v>#N/A</v>
      </c>
      <c r="F111" s="15" t="e">
        <f>VLOOKUP(A111,LineItems!D:I,6,FALSE) / VLOOKUP(A111,LineItems!D:I,5,FALSE)</f>
        <v>#N/A</v>
      </c>
      <c r="G111" s="16" t="e">
        <f xml:space="preserve"> IF((VLOOKUP(A111,data!A:C,3,FALSE)-F111)=0,"No Change","Price Changed")</f>
        <v>#N/A</v>
      </c>
    </row>
    <row r="112" spans="2:7" x14ac:dyDescent="0.2">
      <c r="B112" s="13" t="e">
        <f>VLOOKUP(A112,LineItems!D:E,2,FALSE)</f>
        <v>#N/A</v>
      </c>
      <c r="C112" s="14" t="e">
        <f>F112</f>
        <v>#N/A</v>
      </c>
      <c r="D112" s="13" t="e">
        <f>VLOOKUP(A112,data!A:D,4,FALSE)</f>
        <v>#N/A</v>
      </c>
      <c r="E112" s="13" t="e">
        <f>VLOOKUP(A112,data!A:E,5,FALSE)</f>
        <v>#N/A</v>
      </c>
      <c r="F112" s="15" t="e">
        <f>VLOOKUP(A112,LineItems!D:I,6,FALSE) / VLOOKUP(A112,LineItems!D:I,5,FALSE)</f>
        <v>#N/A</v>
      </c>
      <c r="G112" s="16" t="e">
        <f xml:space="preserve"> IF((VLOOKUP(A112,data!A:C,3,FALSE)-F112)=0,"No Change","Price Changed")</f>
        <v>#N/A</v>
      </c>
    </row>
    <row r="113" spans="2:7" x14ac:dyDescent="0.2">
      <c r="B113" s="13" t="e">
        <f>VLOOKUP(A113,LineItems!D:E,2,FALSE)</f>
        <v>#N/A</v>
      </c>
      <c r="C113" s="14" t="e">
        <f>F113</f>
        <v>#N/A</v>
      </c>
      <c r="D113" s="13" t="e">
        <f>VLOOKUP(A113,data!A:D,4,FALSE)</f>
        <v>#N/A</v>
      </c>
      <c r="E113" s="13" t="e">
        <f>VLOOKUP(A113,data!A:E,5,FALSE)</f>
        <v>#N/A</v>
      </c>
      <c r="F113" s="15" t="e">
        <f>VLOOKUP(A113,LineItems!D:I,6,FALSE) / VLOOKUP(A113,LineItems!D:I,5,FALSE)</f>
        <v>#N/A</v>
      </c>
      <c r="G113" s="16" t="e">
        <f xml:space="preserve"> IF((VLOOKUP(A113,data!A:C,3,FALSE)-F113)=0,"No Change","Price Changed")</f>
        <v>#N/A</v>
      </c>
    </row>
    <row r="114" spans="2:7" x14ac:dyDescent="0.2">
      <c r="B114" s="13" t="e">
        <f>VLOOKUP(A114,LineItems!D:E,2,FALSE)</f>
        <v>#N/A</v>
      </c>
      <c r="C114" s="14" t="e">
        <f>F114</f>
        <v>#N/A</v>
      </c>
      <c r="D114" s="13" t="e">
        <f>VLOOKUP(A114,data!A:D,4,FALSE)</f>
        <v>#N/A</v>
      </c>
      <c r="E114" s="13" t="e">
        <f>VLOOKUP(A114,data!A:E,5,FALSE)</f>
        <v>#N/A</v>
      </c>
      <c r="F114" s="15" t="e">
        <f>VLOOKUP(A114,LineItems!D:I,6,FALSE) / VLOOKUP(A114,LineItems!D:I,5,FALSE)</f>
        <v>#N/A</v>
      </c>
      <c r="G114" s="16" t="e">
        <f xml:space="preserve"> IF((VLOOKUP(A114,data!A:C,3,FALSE)-F114)=0,"No Change","Price Changed")</f>
        <v>#N/A</v>
      </c>
    </row>
    <row r="115" spans="2:7" x14ac:dyDescent="0.2">
      <c r="B115" s="13" t="e">
        <f>VLOOKUP(A115,LineItems!D:E,2,FALSE)</f>
        <v>#N/A</v>
      </c>
      <c r="C115" s="14" t="e">
        <f>F115</f>
        <v>#N/A</v>
      </c>
      <c r="D115" s="13" t="e">
        <f>VLOOKUP(A115,data!A:D,4,FALSE)</f>
        <v>#N/A</v>
      </c>
      <c r="E115" s="13" t="e">
        <f>VLOOKUP(A115,data!A:E,5,FALSE)</f>
        <v>#N/A</v>
      </c>
      <c r="F115" s="15" t="e">
        <f>VLOOKUP(A115,LineItems!D:I,6,FALSE) / VLOOKUP(A115,LineItems!D:I,5,FALSE)</f>
        <v>#N/A</v>
      </c>
      <c r="G115" s="16" t="e">
        <f xml:space="preserve"> IF((VLOOKUP(A115,data!A:C,3,FALSE)-F115)=0,"No Change","Price Changed")</f>
        <v>#N/A</v>
      </c>
    </row>
    <row r="116" spans="2:7" x14ac:dyDescent="0.2">
      <c r="B116" s="13" t="e">
        <f>VLOOKUP(A116,LineItems!D:E,2,FALSE)</f>
        <v>#N/A</v>
      </c>
      <c r="C116" s="14" t="e">
        <f>F116</f>
        <v>#N/A</v>
      </c>
      <c r="D116" s="13" t="e">
        <f>VLOOKUP(A116,data!A:D,4,FALSE)</f>
        <v>#N/A</v>
      </c>
      <c r="E116" s="13" t="e">
        <f>VLOOKUP(A116,data!A:E,5,FALSE)</f>
        <v>#N/A</v>
      </c>
      <c r="F116" s="15" t="e">
        <f>VLOOKUP(A116,LineItems!D:I,6,FALSE) / VLOOKUP(A116,LineItems!D:I,5,FALSE)</f>
        <v>#N/A</v>
      </c>
      <c r="G116" s="16" t="e">
        <f xml:space="preserve"> IF((VLOOKUP(A116,data!A:C,3,FALSE)-F116)=0,"No Change","Price Changed")</f>
        <v>#N/A</v>
      </c>
    </row>
    <row r="117" spans="2:7" x14ac:dyDescent="0.2">
      <c r="B117" s="13" t="e">
        <f>VLOOKUP(A117,LineItems!D:E,2,FALSE)</f>
        <v>#N/A</v>
      </c>
      <c r="C117" s="14" t="e">
        <f>F117</f>
        <v>#N/A</v>
      </c>
      <c r="D117" s="13" t="e">
        <f>VLOOKUP(A117,data!A:D,4,FALSE)</f>
        <v>#N/A</v>
      </c>
      <c r="E117" s="13" t="e">
        <f>VLOOKUP(A117,data!A:E,5,FALSE)</f>
        <v>#N/A</v>
      </c>
      <c r="F117" s="15" t="e">
        <f>VLOOKUP(A117,LineItems!D:I,6,FALSE) / VLOOKUP(A117,LineItems!D:I,5,FALSE)</f>
        <v>#N/A</v>
      </c>
      <c r="G117" s="16" t="e">
        <f xml:space="preserve"> IF((VLOOKUP(A117,data!A:C,3,FALSE)-F117)=0,"No Change","Price Changed")</f>
        <v>#N/A</v>
      </c>
    </row>
    <row r="118" spans="2:7" x14ac:dyDescent="0.2">
      <c r="B118" s="13" t="e">
        <f>VLOOKUP(A118,LineItems!D:E,2,FALSE)</f>
        <v>#N/A</v>
      </c>
      <c r="C118" s="14" t="e">
        <f>F118</f>
        <v>#N/A</v>
      </c>
      <c r="D118" s="13" t="e">
        <f>VLOOKUP(A118,data!A:D,4,FALSE)</f>
        <v>#N/A</v>
      </c>
      <c r="E118" s="13" t="e">
        <f>VLOOKUP(A118,data!A:E,5,FALSE)</f>
        <v>#N/A</v>
      </c>
      <c r="F118" s="15" t="e">
        <f>VLOOKUP(A118,LineItems!D:I,6,FALSE) / VLOOKUP(A118,LineItems!D:I,5,FALSE)</f>
        <v>#N/A</v>
      </c>
      <c r="G118" s="16" t="e">
        <f xml:space="preserve"> IF((VLOOKUP(A118,data!A:C,3,FALSE)-F118)=0,"No Change","Price Changed")</f>
        <v>#N/A</v>
      </c>
    </row>
    <row r="119" spans="2:7" x14ac:dyDescent="0.2">
      <c r="B119" s="13" t="e">
        <f>VLOOKUP(A119,LineItems!D:E,2,FALSE)</f>
        <v>#N/A</v>
      </c>
      <c r="C119" s="14" t="e">
        <f>F119</f>
        <v>#N/A</v>
      </c>
      <c r="D119" s="13" t="e">
        <f>VLOOKUP(A119,data!A:D,4,FALSE)</f>
        <v>#N/A</v>
      </c>
      <c r="E119" s="13" t="e">
        <f>VLOOKUP(A119,data!A:E,5,FALSE)</f>
        <v>#N/A</v>
      </c>
      <c r="F119" s="15" t="e">
        <f>VLOOKUP(A119,LineItems!D:I,6,FALSE) / VLOOKUP(A119,LineItems!D:I,5,FALSE)</f>
        <v>#N/A</v>
      </c>
      <c r="G119" s="16" t="e">
        <f xml:space="preserve"> IF((VLOOKUP(A119,data!A:C,3,FALSE)-F119)=0,"No Change","Price Changed")</f>
        <v>#N/A</v>
      </c>
    </row>
    <row r="120" spans="2:7" x14ac:dyDescent="0.2">
      <c r="B120" s="13" t="e">
        <f>VLOOKUP(A120,LineItems!D:E,2,FALSE)</f>
        <v>#N/A</v>
      </c>
      <c r="C120" s="14" t="e">
        <f>F120</f>
        <v>#N/A</v>
      </c>
      <c r="D120" s="13" t="e">
        <f>VLOOKUP(A120,data!A:D,4,FALSE)</f>
        <v>#N/A</v>
      </c>
      <c r="E120" s="13" t="e">
        <f>VLOOKUP(A120,data!A:E,5,FALSE)</f>
        <v>#N/A</v>
      </c>
      <c r="F120" s="15" t="e">
        <f>VLOOKUP(A120,LineItems!D:I,6,FALSE) / VLOOKUP(A120,LineItems!D:I,5,FALSE)</f>
        <v>#N/A</v>
      </c>
      <c r="G120" s="16" t="e">
        <f xml:space="preserve"> IF((VLOOKUP(A120,data!A:C,3,FALSE)-F120)=0,"No Change","Price Changed")</f>
        <v>#N/A</v>
      </c>
    </row>
    <row r="121" spans="2:7" x14ac:dyDescent="0.2">
      <c r="B121" s="13" t="e">
        <f>VLOOKUP(A121,LineItems!D:E,2,FALSE)</f>
        <v>#N/A</v>
      </c>
      <c r="C121" s="14" t="e">
        <f>F121</f>
        <v>#N/A</v>
      </c>
      <c r="D121" s="13" t="e">
        <f>VLOOKUP(A121,data!A:D,4,FALSE)</f>
        <v>#N/A</v>
      </c>
      <c r="E121" s="13" t="e">
        <f>VLOOKUP(A121,data!A:E,5,FALSE)</f>
        <v>#N/A</v>
      </c>
      <c r="F121" s="15" t="e">
        <f>VLOOKUP(A121,LineItems!D:I,6,FALSE) / VLOOKUP(A121,LineItems!D:I,5,FALSE)</f>
        <v>#N/A</v>
      </c>
      <c r="G121" s="16" t="e">
        <f xml:space="preserve"> IF((VLOOKUP(A121,data!A:C,3,FALSE)-F121)=0,"No Change","Price Changed")</f>
        <v>#N/A</v>
      </c>
    </row>
    <row r="122" spans="2:7" x14ac:dyDescent="0.2">
      <c r="B122" s="13" t="e">
        <f>VLOOKUP(A122,LineItems!D:E,2,FALSE)</f>
        <v>#N/A</v>
      </c>
      <c r="C122" s="14" t="e">
        <f>F122</f>
        <v>#N/A</v>
      </c>
      <c r="D122" s="13" t="e">
        <f>VLOOKUP(A122,data!A:D,4,FALSE)</f>
        <v>#N/A</v>
      </c>
      <c r="E122" s="13" t="e">
        <f>VLOOKUP(A122,data!A:E,5,FALSE)</f>
        <v>#N/A</v>
      </c>
      <c r="F122" s="15" t="e">
        <f>VLOOKUP(A122,LineItems!D:I,6,FALSE) / VLOOKUP(A122,LineItems!D:I,5,FALSE)</f>
        <v>#N/A</v>
      </c>
      <c r="G122" s="16" t="e">
        <f xml:space="preserve"> IF((VLOOKUP(A122,data!A:C,3,FALSE)-F122)=0,"No Change","Price Changed")</f>
        <v>#N/A</v>
      </c>
    </row>
    <row r="123" spans="2:7" x14ac:dyDescent="0.2">
      <c r="B123" s="13" t="e">
        <f>VLOOKUP(A123,LineItems!D:E,2,FALSE)</f>
        <v>#N/A</v>
      </c>
      <c r="C123" s="14" t="e">
        <f>F123</f>
        <v>#N/A</v>
      </c>
      <c r="D123" s="13" t="e">
        <f>VLOOKUP(A123,data!A:D,4,FALSE)</f>
        <v>#N/A</v>
      </c>
      <c r="E123" s="13" t="e">
        <f>VLOOKUP(A123,data!A:E,5,FALSE)</f>
        <v>#N/A</v>
      </c>
      <c r="F123" s="15" t="e">
        <f>VLOOKUP(A123,LineItems!D:I,6,FALSE) / VLOOKUP(A123,LineItems!D:I,5,FALSE)</f>
        <v>#N/A</v>
      </c>
      <c r="G123" s="16" t="e">
        <f xml:space="preserve"> IF((VLOOKUP(A123,data!A:C,3,FALSE)-F123)=0,"No Change","Price Changed")</f>
        <v>#N/A</v>
      </c>
    </row>
    <row r="124" spans="2:7" x14ac:dyDescent="0.2">
      <c r="B124" s="13" t="e">
        <f>VLOOKUP(A124,LineItems!D:E,2,FALSE)</f>
        <v>#N/A</v>
      </c>
      <c r="C124" s="14" t="e">
        <f>F124</f>
        <v>#N/A</v>
      </c>
      <c r="D124" s="13" t="e">
        <f>VLOOKUP(A124,data!A:D,4,FALSE)</f>
        <v>#N/A</v>
      </c>
      <c r="E124" s="13" t="e">
        <f>VLOOKUP(A124,data!A:E,5,FALSE)</f>
        <v>#N/A</v>
      </c>
      <c r="F124" s="15" t="e">
        <f>VLOOKUP(A124,LineItems!D:I,6,FALSE) / VLOOKUP(A124,LineItems!D:I,5,FALSE)</f>
        <v>#N/A</v>
      </c>
      <c r="G124" s="16" t="e">
        <f xml:space="preserve"> IF((VLOOKUP(A124,data!A:C,3,FALSE)-F124)=0,"No Change","Price Changed")</f>
        <v>#N/A</v>
      </c>
    </row>
    <row r="125" spans="2:7" x14ac:dyDescent="0.2">
      <c r="B125" s="13" t="e">
        <f>VLOOKUP(A125,LineItems!D:E,2,FALSE)</f>
        <v>#N/A</v>
      </c>
      <c r="C125" s="14" t="e">
        <f>F125</f>
        <v>#N/A</v>
      </c>
      <c r="D125" s="13" t="e">
        <f>VLOOKUP(A125,data!A:D,4,FALSE)</f>
        <v>#N/A</v>
      </c>
      <c r="E125" s="13" t="e">
        <f>VLOOKUP(A125,data!A:E,5,FALSE)</f>
        <v>#N/A</v>
      </c>
      <c r="F125" s="15" t="e">
        <f>VLOOKUP(A125,LineItems!D:I,6,FALSE) / VLOOKUP(A125,LineItems!D:I,5,FALSE)</f>
        <v>#N/A</v>
      </c>
      <c r="G125" s="16" t="e">
        <f xml:space="preserve"> IF((VLOOKUP(A125,data!A:C,3,FALSE)-F125)=0,"No Change","Price Changed")</f>
        <v>#N/A</v>
      </c>
    </row>
    <row r="126" spans="2:7" x14ac:dyDescent="0.2">
      <c r="B126" s="13" t="e">
        <f>VLOOKUP(A126,LineItems!D:E,2,FALSE)</f>
        <v>#N/A</v>
      </c>
      <c r="C126" s="14" t="e">
        <f>F126</f>
        <v>#N/A</v>
      </c>
      <c r="D126" s="13" t="e">
        <f>VLOOKUP(A126,data!A:D,4,FALSE)</f>
        <v>#N/A</v>
      </c>
      <c r="E126" s="13" t="e">
        <f>VLOOKUP(A126,data!A:E,5,FALSE)</f>
        <v>#N/A</v>
      </c>
      <c r="F126" s="15" t="e">
        <f>VLOOKUP(A126,LineItems!D:I,6,FALSE) / VLOOKUP(A126,LineItems!D:I,5,FALSE)</f>
        <v>#N/A</v>
      </c>
      <c r="G126" s="16" t="e">
        <f xml:space="preserve"> IF((VLOOKUP(A126,data!A:C,3,FALSE)-F126)=0,"No Change","Price Changed")</f>
        <v>#N/A</v>
      </c>
    </row>
    <row r="127" spans="2:7" x14ac:dyDescent="0.2">
      <c r="B127" s="13" t="e">
        <f>VLOOKUP(A127,LineItems!D:E,2,FALSE)</f>
        <v>#N/A</v>
      </c>
      <c r="C127" s="14" t="e">
        <f>F127</f>
        <v>#N/A</v>
      </c>
      <c r="D127" s="13" t="e">
        <f>VLOOKUP(A127,data!A:D,4,FALSE)</f>
        <v>#N/A</v>
      </c>
      <c r="E127" s="13" t="e">
        <f>VLOOKUP(A127,data!A:E,5,FALSE)</f>
        <v>#N/A</v>
      </c>
      <c r="F127" s="15" t="e">
        <f>VLOOKUP(A127,LineItems!D:I,6,FALSE) / VLOOKUP(A127,LineItems!D:I,5,FALSE)</f>
        <v>#N/A</v>
      </c>
      <c r="G127" s="16" t="e">
        <f xml:space="preserve"> IF((VLOOKUP(A127,data!A:C,3,FALSE)-F127)=0,"No Change","Price Changed")</f>
        <v>#N/A</v>
      </c>
    </row>
    <row r="128" spans="2:7" x14ac:dyDescent="0.2">
      <c r="B128" s="13" t="e">
        <f>VLOOKUP(A128,LineItems!D:E,2,FALSE)</f>
        <v>#N/A</v>
      </c>
      <c r="C128" s="14" t="e">
        <f>F128</f>
        <v>#N/A</v>
      </c>
      <c r="D128" s="13" t="e">
        <f>VLOOKUP(A128,data!A:D,4,FALSE)</f>
        <v>#N/A</v>
      </c>
      <c r="E128" s="13" t="e">
        <f>VLOOKUP(A128,data!A:E,5,FALSE)</f>
        <v>#N/A</v>
      </c>
      <c r="F128" s="15" t="e">
        <f>VLOOKUP(A128,LineItems!D:I,6,FALSE) / VLOOKUP(A128,LineItems!D:I,5,FALSE)</f>
        <v>#N/A</v>
      </c>
      <c r="G128" s="16" t="e">
        <f xml:space="preserve"> IF((VLOOKUP(A128,data!A:C,3,FALSE)-F128)=0,"No Change","Price Changed")</f>
        <v>#N/A</v>
      </c>
    </row>
    <row r="129" spans="2:7" x14ac:dyDescent="0.2">
      <c r="B129" s="13" t="e">
        <f>VLOOKUP(A129,LineItems!D:E,2,FALSE)</f>
        <v>#N/A</v>
      </c>
      <c r="C129" s="14" t="e">
        <f>F129</f>
        <v>#N/A</v>
      </c>
      <c r="D129" s="13" t="e">
        <f>VLOOKUP(A129,data!A:D,4,FALSE)</f>
        <v>#N/A</v>
      </c>
      <c r="E129" s="13" t="e">
        <f>VLOOKUP(A129,data!A:E,5,FALSE)</f>
        <v>#N/A</v>
      </c>
      <c r="F129" s="15" t="e">
        <f>VLOOKUP(A129,LineItems!D:I,6,FALSE) / VLOOKUP(A129,LineItems!D:I,5,FALSE)</f>
        <v>#N/A</v>
      </c>
      <c r="G129" s="16" t="e">
        <f xml:space="preserve"> IF((VLOOKUP(A129,data!A:C,3,FALSE)-F129)=0,"No Change","Price Changed")</f>
        <v>#N/A</v>
      </c>
    </row>
    <row r="130" spans="2:7" x14ac:dyDescent="0.2">
      <c r="B130" s="13" t="e">
        <f>VLOOKUP(A130,LineItems!D:E,2,FALSE)</f>
        <v>#N/A</v>
      </c>
      <c r="C130" s="14" t="e">
        <f>F130</f>
        <v>#N/A</v>
      </c>
      <c r="D130" s="13" t="e">
        <f>VLOOKUP(A130,data!A:D,4,FALSE)</f>
        <v>#N/A</v>
      </c>
      <c r="E130" s="13" t="e">
        <f>VLOOKUP(A130,data!A:E,5,FALSE)</f>
        <v>#N/A</v>
      </c>
      <c r="F130" s="15" t="e">
        <f>VLOOKUP(A130,LineItems!D:I,6,FALSE) / VLOOKUP(A130,LineItems!D:I,5,FALSE)</f>
        <v>#N/A</v>
      </c>
      <c r="G130" s="16" t="e">
        <f xml:space="preserve"> IF((VLOOKUP(A130,data!A:C,3,FALSE)-F130)=0,"No Change","Price Changed")</f>
        <v>#N/A</v>
      </c>
    </row>
    <row r="131" spans="2:7" x14ac:dyDescent="0.2">
      <c r="B131" s="13" t="e">
        <f>VLOOKUP(A131,LineItems!D:E,2,FALSE)</f>
        <v>#N/A</v>
      </c>
      <c r="C131" s="14" t="e">
        <f>F131</f>
        <v>#N/A</v>
      </c>
      <c r="D131" s="13" t="e">
        <f>VLOOKUP(A131,data!A:D,4,FALSE)</f>
        <v>#N/A</v>
      </c>
      <c r="E131" s="13" t="e">
        <f>VLOOKUP(A131,data!A:E,5,FALSE)</f>
        <v>#N/A</v>
      </c>
      <c r="F131" s="15" t="e">
        <f>VLOOKUP(A131,LineItems!D:I,6,FALSE) / VLOOKUP(A131,LineItems!D:I,5,FALSE)</f>
        <v>#N/A</v>
      </c>
      <c r="G131" s="16" t="e">
        <f xml:space="preserve"> IF((VLOOKUP(A131,data!A:C,3,FALSE)-F131)=0,"No Change","Price Changed")</f>
        <v>#N/A</v>
      </c>
    </row>
    <row r="132" spans="2:7" x14ac:dyDescent="0.2">
      <c r="B132" s="13" t="e">
        <f>VLOOKUP(A132,LineItems!D:E,2,FALSE)</f>
        <v>#N/A</v>
      </c>
      <c r="C132" s="14" t="e">
        <f>F132</f>
        <v>#N/A</v>
      </c>
      <c r="D132" s="13" t="e">
        <f>VLOOKUP(A132,data!A:D,4,FALSE)</f>
        <v>#N/A</v>
      </c>
      <c r="E132" s="13" t="e">
        <f>VLOOKUP(A132,data!A:E,5,FALSE)</f>
        <v>#N/A</v>
      </c>
      <c r="F132" s="15" t="e">
        <f>VLOOKUP(A132,LineItems!D:I,6,FALSE) / VLOOKUP(A132,LineItems!D:I,5,FALSE)</f>
        <v>#N/A</v>
      </c>
      <c r="G132" s="16" t="e">
        <f xml:space="preserve"> IF((VLOOKUP(A132,data!A:C,3,FALSE)-F132)=0,"No Change","Price Changed")</f>
        <v>#N/A</v>
      </c>
    </row>
    <row r="133" spans="2:7" x14ac:dyDescent="0.2">
      <c r="B133" s="13" t="e">
        <f>VLOOKUP(A133,LineItems!D:E,2,FALSE)</f>
        <v>#N/A</v>
      </c>
      <c r="C133" s="14" t="e">
        <f>F133</f>
        <v>#N/A</v>
      </c>
      <c r="D133" s="13" t="e">
        <f>VLOOKUP(A133,data!A:D,4,FALSE)</f>
        <v>#N/A</v>
      </c>
      <c r="E133" s="13" t="e">
        <f>VLOOKUP(A133,data!A:E,5,FALSE)</f>
        <v>#N/A</v>
      </c>
      <c r="F133" s="15" t="e">
        <f>VLOOKUP(A133,LineItems!D:I,6,FALSE) / VLOOKUP(A133,LineItems!D:I,5,FALSE)</f>
        <v>#N/A</v>
      </c>
      <c r="G133" s="16" t="e">
        <f xml:space="preserve"> IF((VLOOKUP(A133,data!A:C,3,FALSE)-F133)=0,"No Change","Price Changed")</f>
        <v>#N/A</v>
      </c>
    </row>
    <row r="134" spans="2:7" x14ac:dyDescent="0.2">
      <c r="B134" s="13" t="e">
        <f>VLOOKUP(A134,LineItems!D:E,2,FALSE)</f>
        <v>#N/A</v>
      </c>
      <c r="C134" s="14" t="e">
        <f>F134</f>
        <v>#N/A</v>
      </c>
      <c r="D134" s="13" t="e">
        <f>VLOOKUP(A134,data!A:D,4,FALSE)</f>
        <v>#N/A</v>
      </c>
      <c r="E134" s="13" t="e">
        <f>VLOOKUP(A134,data!A:E,5,FALSE)</f>
        <v>#N/A</v>
      </c>
      <c r="F134" s="15" t="e">
        <f>VLOOKUP(A134,LineItems!D:I,6,FALSE) / VLOOKUP(A134,LineItems!D:I,5,FALSE)</f>
        <v>#N/A</v>
      </c>
      <c r="G134" s="16" t="e">
        <f xml:space="preserve"> IF((VLOOKUP(A134,data!A:C,3,FALSE)-F134)=0,"No Change","Price Changed")</f>
        <v>#N/A</v>
      </c>
    </row>
    <row r="135" spans="2:7" x14ac:dyDescent="0.2">
      <c r="B135" s="13" t="e">
        <f>VLOOKUP(A135,LineItems!D:E,2,FALSE)</f>
        <v>#N/A</v>
      </c>
      <c r="C135" s="14" t="e">
        <f>F135</f>
        <v>#N/A</v>
      </c>
      <c r="D135" s="13" t="e">
        <f>VLOOKUP(A135,data!A:D,4,FALSE)</f>
        <v>#N/A</v>
      </c>
      <c r="E135" s="13" t="e">
        <f>VLOOKUP(A135,data!A:E,5,FALSE)</f>
        <v>#N/A</v>
      </c>
      <c r="F135" s="15" t="e">
        <f>VLOOKUP(A135,LineItems!D:I,6,FALSE) / VLOOKUP(A135,LineItems!D:I,5,FALSE)</f>
        <v>#N/A</v>
      </c>
      <c r="G135" s="16" t="e">
        <f xml:space="preserve"> IF((VLOOKUP(A135,data!A:C,3,FALSE)-F135)=0,"No Change","Price Changed")</f>
        <v>#N/A</v>
      </c>
    </row>
    <row r="136" spans="2:7" x14ac:dyDescent="0.2">
      <c r="B136" s="13" t="e">
        <f>VLOOKUP(A136,LineItems!D:E,2,FALSE)</f>
        <v>#N/A</v>
      </c>
      <c r="C136" s="14" t="e">
        <f>F136</f>
        <v>#N/A</v>
      </c>
      <c r="D136" s="13" t="e">
        <f>VLOOKUP(A136,data!A:D,4,FALSE)</f>
        <v>#N/A</v>
      </c>
      <c r="E136" s="13" t="e">
        <f>VLOOKUP(A136,data!A:E,5,FALSE)</f>
        <v>#N/A</v>
      </c>
      <c r="F136" s="15" t="e">
        <f>VLOOKUP(A136,LineItems!D:I,6,FALSE) / VLOOKUP(A136,LineItems!D:I,5,FALSE)</f>
        <v>#N/A</v>
      </c>
      <c r="G136" s="16" t="e">
        <f xml:space="preserve"> IF((VLOOKUP(A136,data!A:C,3,FALSE)-F136)=0,"No Change","Price Changed")</f>
        <v>#N/A</v>
      </c>
    </row>
    <row r="137" spans="2:7" x14ac:dyDescent="0.2">
      <c r="B137" s="13" t="e">
        <f>VLOOKUP(A137,LineItems!D:E,2,FALSE)</f>
        <v>#N/A</v>
      </c>
      <c r="C137" s="14" t="e">
        <f>F137</f>
        <v>#N/A</v>
      </c>
      <c r="D137" s="13" t="e">
        <f>VLOOKUP(A137,data!A:D,4,FALSE)</f>
        <v>#N/A</v>
      </c>
      <c r="E137" s="13" t="e">
        <f>VLOOKUP(A137,data!A:E,5,FALSE)</f>
        <v>#N/A</v>
      </c>
      <c r="F137" s="15" t="e">
        <f>VLOOKUP(A137,LineItems!D:I,6,FALSE) / VLOOKUP(A137,LineItems!D:I,5,FALSE)</f>
        <v>#N/A</v>
      </c>
      <c r="G137" s="16" t="e">
        <f xml:space="preserve"> IF((VLOOKUP(A137,data!A:C,3,FALSE)-F137)=0,"No Change","Price Changed")</f>
        <v>#N/A</v>
      </c>
    </row>
    <row r="138" spans="2:7" x14ac:dyDescent="0.2">
      <c r="B138" s="13" t="e">
        <f>VLOOKUP(A138,LineItems!D:E,2,FALSE)</f>
        <v>#N/A</v>
      </c>
      <c r="C138" s="14" t="e">
        <f>F138</f>
        <v>#N/A</v>
      </c>
      <c r="D138" s="13" t="e">
        <f>VLOOKUP(A138,data!A:D,4,FALSE)</f>
        <v>#N/A</v>
      </c>
      <c r="E138" s="13" t="e">
        <f>VLOOKUP(A138,data!A:E,5,FALSE)</f>
        <v>#N/A</v>
      </c>
      <c r="F138" s="15" t="e">
        <f>VLOOKUP(A138,LineItems!D:I,6,FALSE) / VLOOKUP(A138,LineItems!D:I,5,FALSE)</f>
        <v>#N/A</v>
      </c>
      <c r="G138" s="16" t="e">
        <f xml:space="preserve"> IF((VLOOKUP(A138,data!A:C,3,FALSE)-F138)=0,"No Change","Price Changed")</f>
        <v>#N/A</v>
      </c>
    </row>
    <row r="139" spans="2:7" x14ac:dyDescent="0.2">
      <c r="B139" s="13" t="e">
        <f>VLOOKUP(A139,LineItems!D:E,2,FALSE)</f>
        <v>#N/A</v>
      </c>
      <c r="C139" s="14" t="e">
        <f>F139</f>
        <v>#N/A</v>
      </c>
      <c r="D139" s="13" t="e">
        <f>VLOOKUP(A139,data!A:D,4,FALSE)</f>
        <v>#N/A</v>
      </c>
      <c r="E139" s="13" t="e">
        <f>VLOOKUP(A139,data!A:E,5,FALSE)</f>
        <v>#N/A</v>
      </c>
      <c r="F139" s="15" t="e">
        <f>VLOOKUP(A139,LineItems!D:I,6,FALSE) / VLOOKUP(A139,LineItems!D:I,5,FALSE)</f>
        <v>#N/A</v>
      </c>
      <c r="G139" s="16" t="e">
        <f xml:space="preserve"> IF((VLOOKUP(A139,data!A:C,3,FALSE)-F139)=0,"No Change","Price Changed")</f>
        <v>#N/A</v>
      </c>
    </row>
    <row r="140" spans="2:7" x14ac:dyDescent="0.2">
      <c r="B140" s="13" t="e">
        <f>VLOOKUP(A140,LineItems!D:E,2,FALSE)</f>
        <v>#N/A</v>
      </c>
      <c r="C140" s="14" t="e">
        <f>F140</f>
        <v>#N/A</v>
      </c>
      <c r="D140" s="13" t="e">
        <f>VLOOKUP(A140,data!A:D,4,FALSE)</f>
        <v>#N/A</v>
      </c>
      <c r="E140" s="13" t="e">
        <f>VLOOKUP(A140,data!A:E,5,FALSE)</f>
        <v>#N/A</v>
      </c>
      <c r="F140" s="15" t="e">
        <f>VLOOKUP(A140,LineItems!D:I,6,FALSE) / VLOOKUP(A140,LineItems!D:I,5,FALSE)</f>
        <v>#N/A</v>
      </c>
      <c r="G140" s="16" t="e">
        <f xml:space="preserve"> IF((VLOOKUP(A140,data!A:C,3,FALSE)-F140)=0,"No Change","Price Changed")</f>
        <v>#N/A</v>
      </c>
    </row>
    <row r="141" spans="2:7" x14ac:dyDescent="0.2">
      <c r="B141" s="13" t="e">
        <f>VLOOKUP(A141,LineItems!D:E,2,FALSE)</f>
        <v>#N/A</v>
      </c>
      <c r="C141" s="14" t="e">
        <f>F141</f>
        <v>#N/A</v>
      </c>
      <c r="D141" s="13" t="e">
        <f>VLOOKUP(A141,data!A:D,4,FALSE)</f>
        <v>#N/A</v>
      </c>
      <c r="E141" s="13" t="e">
        <f>VLOOKUP(A141,data!A:E,5,FALSE)</f>
        <v>#N/A</v>
      </c>
      <c r="F141" s="15" t="e">
        <f>VLOOKUP(A141,LineItems!D:I,6,FALSE) / VLOOKUP(A141,LineItems!D:I,5,FALSE)</f>
        <v>#N/A</v>
      </c>
      <c r="G141" s="16" t="e">
        <f xml:space="preserve"> IF((VLOOKUP(A141,data!A:C,3,FALSE)-F141)=0,"No Change","Price Changed")</f>
        <v>#N/A</v>
      </c>
    </row>
    <row r="142" spans="2:7" x14ac:dyDescent="0.2">
      <c r="B142" s="13" t="e">
        <f>VLOOKUP(A142,LineItems!D:E,2,FALSE)</f>
        <v>#N/A</v>
      </c>
      <c r="C142" s="14" t="e">
        <f>F142</f>
        <v>#N/A</v>
      </c>
      <c r="D142" s="13" t="e">
        <f>VLOOKUP(A142,data!A:D,4,FALSE)</f>
        <v>#N/A</v>
      </c>
      <c r="E142" s="13" t="e">
        <f>VLOOKUP(A142,data!A:E,5,FALSE)</f>
        <v>#N/A</v>
      </c>
      <c r="F142" s="15" t="e">
        <f>VLOOKUP(A142,LineItems!D:I,6,FALSE) / VLOOKUP(A142,LineItems!D:I,5,FALSE)</f>
        <v>#N/A</v>
      </c>
      <c r="G142" s="16" t="e">
        <f xml:space="preserve"> IF((VLOOKUP(A142,data!A:C,3,FALSE)-F142)=0,"No Change","Price Changed")</f>
        <v>#N/A</v>
      </c>
    </row>
    <row r="143" spans="2:7" x14ac:dyDescent="0.2">
      <c r="B143" s="13" t="e">
        <f>VLOOKUP(A143,LineItems!D:E,2,FALSE)</f>
        <v>#N/A</v>
      </c>
      <c r="C143" s="14" t="e">
        <f>F143</f>
        <v>#N/A</v>
      </c>
      <c r="D143" s="13" t="e">
        <f>VLOOKUP(A143,data!A:D,4,FALSE)</f>
        <v>#N/A</v>
      </c>
      <c r="E143" s="13" t="e">
        <f>VLOOKUP(A143,data!A:E,5,FALSE)</f>
        <v>#N/A</v>
      </c>
      <c r="F143" s="15" t="e">
        <f>VLOOKUP(A143,LineItems!D:I,6,FALSE) / VLOOKUP(A143,LineItems!D:I,5,FALSE)</f>
        <v>#N/A</v>
      </c>
      <c r="G143" s="16" t="e">
        <f xml:space="preserve"> IF((VLOOKUP(A143,data!A:C,3,FALSE)-F143)=0,"No Change","Price Changed")</f>
        <v>#N/A</v>
      </c>
    </row>
    <row r="144" spans="2:7" x14ac:dyDescent="0.2">
      <c r="B144" s="13" t="e">
        <f>VLOOKUP(A144,LineItems!D:E,2,FALSE)</f>
        <v>#N/A</v>
      </c>
      <c r="C144" s="14" t="e">
        <f>F144</f>
        <v>#N/A</v>
      </c>
      <c r="D144" s="13" t="e">
        <f>VLOOKUP(A144,data!A:D,4,FALSE)</f>
        <v>#N/A</v>
      </c>
      <c r="E144" s="13" t="e">
        <f>VLOOKUP(A144,data!A:E,5,FALSE)</f>
        <v>#N/A</v>
      </c>
      <c r="F144" s="15" t="e">
        <f>VLOOKUP(A144,LineItems!D:I,6,FALSE) / VLOOKUP(A144,LineItems!D:I,5,FALSE)</f>
        <v>#N/A</v>
      </c>
      <c r="G144" s="16" t="e">
        <f xml:space="preserve"> IF((VLOOKUP(A144,data!A:C,3,FALSE)-F144)=0,"No Change","Price Changed")</f>
        <v>#N/A</v>
      </c>
    </row>
    <row r="145" spans="2:7" x14ac:dyDescent="0.2">
      <c r="B145" s="13" t="e">
        <f>VLOOKUP(A145,LineItems!D:E,2,FALSE)</f>
        <v>#N/A</v>
      </c>
      <c r="C145" s="14" t="e">
        <f>F145</f>
        <v>#N/A</v>
      </c>
      <c r="D145" s="13" t="e">
        <f>VLOOKUP(A145,data!A:D,4,FALSE)</f>
        <v>#N/A</v>
      </c>
      <c r="E145" s="13" t="e">
        <f>VLOOKUP(A145,data!A:E,5,FALSE)</f>
        <v>#N/A</v>
      </c>
      <c r="F145" s="15" t="e">
        <f>VLOOKUP(A145,LineItems!D:I,6,FALSE) / VLOOKUP(A145,LineItems!D:I,5,FALSE)</f>
        <v>#N/A</v>
      </c>
      <c r="G145" s="16" t="e">
        <f xml:space="preserve"> IF((VLOOKUP(A145,data!A:C,3,FALSE)-F145)=0,"No Change","Price Changed")</f>
        <v>#N/A</v>
      </c>
    </row>
    <row r="146" spans="2:7" x14ac:dyDescent="0.2">
      <c r="B146" s="13" t="e">
        <f>VLOOKUP(A146,LineItems!D:E,2,FALSE)</f>
        <v>#N/A</v>
      </c>
      <c r="C146" s="14" t="e">
        <f>F146</f>
        <v>#N/A</v>
      </c>
      <c r="D146" s="13" t="e">
        <f>VLOOKUP(A146,data!A:D,4,FALSE)</f>
        <v>#N/A</v>
      </c>
      <c r="E146" s="13" t="e">
        <f>VLOOKUP(A146,data!A:E,5,FALSE)</f>
        <v>#N/A</v>
      </c>
      <c r="F146" s="15" t="e">
        <f>VLOOKUP(A146,LineItems!D:I,6,FALSE) / VLOOKUP(A146,LineItems!D:I,5,FALSE)</f>
        <v>#N/A</v>
      </c>
      <c r="G146" s="16" t="e">
        <f xml:space="preserve"> IF((VLOOKUP(A146,data!A:C,3,FALSE)-F146)=0,"No Change","Price Changed")</f>
        <v>#N/A</v>
      </c>
    </row>
    <row r="147" spans="2:7" x14ac:dyDescent="0.2">
      <c r="B147" s="13" t="e">
        <f>VLOOKUP(A147,LineItems!D:E,2,FALSE)</f>
        <v>#N/A</v>
      </c>
      <c r="C147" s="14" t="e">
        <f>F147</f>
        <v>#N/A</v>
      </c>
      <c r="D147" s="13" t="e">
        <f>VLOOKUP(A147,data!A:D,4,FALSE)</f>
        <v>#N/A</v>
      </c>
      <c r="E147" s="13" t="e">
        <f>VLOOKUP(A147,data!A:E,5,FALSE)</f>
        <v>#N/A</v>
      </c>
      <c r="F147" s="15" t="e">
        <f>VLOOKUP(A147,LineItems!D:I,6,FALSE) / VLOOKUP(A147,LineItems!D:I,5,FALSE)</f>
        <v>#N/A</v>
      </c>
      <c r="G147" s="16" t="e">
        <f xml:space="preserve"> IF((VLOOKUP(A147,data!A:C,3,FALSE)-F147)=0,"No Change","Price Changed")</f>
        <v>#N/A</v>
      </c>
    </row>
    <row r="148" spans="2:7" x14ac:dyDescent="0.2">
      <c r="B148" s="13" t="e">
        <f>VLOOKUP(A148,LineItems!D:E,2,FALSE)</f>
        <v>#N/A</v>
      </c>
      <c r="C148" s="14" t="e">
        <f>F148</f>
        <v>#N/A</v>
      </c>
      <c r="D148" s="13" t="e">
        <f>VLOOKUP(A148,data!A:D,4,FALSE)</f>
        <v>#N/A</v>
      </c>
      <c r="E148" s="13" t="e">
        <f>VLOOKUP(A148,data!A:E,5,FALSE)</f>
        <v>#N/A</v>
      </c>
      <c r="F148" s="15" t="e">
        <f>VLOOKUP(A148,LineItems!D:I,6,FALSE) / VLOOKUP(A148,LineItems!D:I,5,FALSE)</f>
        <v>#N/A</v>
      </c>
      <c r="G148" s="16" t="e">
        <f xml:space="preserve"> IF((VLOOKUP(A148,data!A:C,3,FALSE)-F148)=0,"No Change","Price Changed")</f>
        <v>#N/A</v>
      </c>
    </row>
    <row r="149" spans="2:7" x14ac:dyDescent="0.2">
      <c r="B149" s="13" t="e">
        <f>VLOOKUP(A149,LineItems!D:E,2,FALSE)</f>
        <v>#N/A</v>
      </c>
      <c r="C149" s="14" t="e">
        <f>F149</f>
        <v>#N/A</v>
      </c>
      <c r="D149" s="13" t="e">
        <f>VLOOKUP(A149,data!A:D,4,FALSE)</f>
        <v>#N/A</v>
      </c>
      <c r="E149" s="13" t="e">
        <f>VLOOKUP(A149,data!A:E,5,FALSE)</f>
        <v>#N/A</v>
      </c>
      <c r="F149" s="15" t="e">
        <f>VLOOKUP(A149,LineItems!D:I,6,FALSE) / VLOOKUP(A149,LineItems!D:I,5,FALSE)</f>
        <v>#N/A</v>
      </c>
      <c r="G149" s="16" t="e">
        <f xml:space="preserve"> IF((VLOOKUP(A149,data!A:C,3,FALSE)-F149)=0,"No Change","Price Changed")</f>
        <v>#N/A</v>
      </c>
    </row>
    <row r="150" spans="2:7" x14ac:dyDescent="0.2">
      <c r="B150" s="13" t="e">
        <f>VLOOKUP(A150,LineItems!D:E,2,FALSE)</f>
        <v>#N/A</v>
      </c>
      <c r="C150" s="14" t="e">
        <f>F150</f>
        <v>#N/A</v>
      </c>
      <c r="D150" s="13" t="e">
        <f>VLOOKUP(A150,data!A:D,4,FALSE)</f>
        <v>#N/A</v>
      </c>
      <c r="E150" s="13" t="e">
        <f>VLOOKUP(A150,data!A:E,5,FALSE)</f>
        <v>#N/A</v>
      </c>
      <c r="F150" s="15" t="e">
        <f>VLOOKUP(A150,LineItems!D:I,6,FALSE) / VLOOKUP(A150,LineItems!D:I,5,FALSE)</f>
        <v>#N/A</v>
      </c>
      <c r="G150" s="16" t="e">
        <f xml:space="preserve"> IF((VLOOKUP(A150,data!A:C,3,FALSE)-F150)=0,"No Change","Price Changed")</f>
        <v>#N/A</v>
      </c>
    </row>
    <row r="151" spans="2:7" x14ac:dyDescent="0.2">
      <c r="B151" s="13" t="e">
        <f>VLOOKUP(A151,LineItems!D:E,2,FALSE)</f>
        <v>#N/A</v>
      </c>
      <c r="C151" s="14" t="e">
        <f>F151</f>
        <v>#N/A</v>
      </c>
      <c r="D151" s="13" t="e">
        <f>VLOOKUP(A151,data!A:D,4,FALSE)</f>
        <v>#N/A</v>
      </c>
      <c r="E151" s="13" t="e">
        <f>VLOOKUP(A151,data!A:E,5,FALSE)</f>
        <v>#N/A</v>
      </c>
      <c r="F151" s="15" t="e">
        <f>VLOOKUP(A151,LineItems!D:I,6,FALSE) / VLOOKUP(A151,LineItems!D:I,5,FALSE)</f>
        <v>#N/A</v>
      </c>
      <c r="G151" s="16" t="e">
        <f xml:space="preserve"> IF((VLOOKUP(A151,data!A:C,3,FALSE)-F151)=0,"No Change","Price Changed")</f>
        <v>#N/A</v>
      </c>
    </row>
    <row r="152" spans="2:7" x14ac:dyDescent="0.2">
      <c r="B152" s="13" t="e">
        <f>VLOOKUP(A152,LineItems!D:E,2,FALSE)</f>
        <v>#N/A</v>
      </c>
      <c r="C152" s="14" t="e">
        <f>F152</f>
        <v>#N/A</v>
      </c>
      <c r="D152" s="13" t="e">
        <f>VLOOKUP(A152,data!A:D,4,FALSE)</f>
        <v>#N/A</v>
      </c>
      <c r="E152" s="13" t="e">
        <f>VLOOKUP(A152,data!A:E,5,FALSE)</f>
        <v>#N/A</v>
      </c>
      <c r="F152" s="15" t="e">
        <f>VLOOKUP(A152,LineItems!D:I,6,FALSE) / VLOOKUP(A152,LineItems!D:I,5,FALSE)</f>
        <v>#N/A</v>
      </c>
      <c r="G152" s="16" t="e">
        <f xml:space="preserve"> IF((VLOOKUP(A152,data!A:C,3,FALSE)-F152)=0,"No Change","Price Changed")</f>
        <v>#N/A</v>
      </c>
    </row>
    <row r="153" spans="2:7" x14ac:dyDescent="0.2">
      <c r="B153" s="13" t="e">
        <f>VLOOKUP(A153,LineItems!D:E,2,FALSE)</f>
        <v>#N/A</v>
      </c>
      <c r="C153" s="14" t="e">
        <f>F153</f>
        <v>#N/A</v>
      </c>
      <c r="D153" s="13" t="e">
        <f>VLOOKUP(A153,data!A:D,4,FALSE)</f>
        <v>#N/A</v>
      </c>
      <c r="E153" s="13" t="e">
        <f>VLOOKUP(A153,data!A:E,5,FALSE)</f>
        <v>#N/A</v>
      </c>
      <c r="F153" s="15" t="e">
        <f>VLOOKUP(A153,LineItems!D:I,6,FALSE) / VLOOKUP(A153,LineItems!D:I,5,FALSE)</f>
        <v>#N/A</v>
      </c>
      <c r="G153" s="16" t="e">
        <f xml:space="preserve"> IF((VLOOKUP(A153,data!A:C,3,FALSE)-F153)=0,"No Change","Price Changed")</f>
        <v>#N/A</v>
      </c>
    </row>
    <row r="154" spans="2:7" x14ac:dyDescent="0.2">
      <c r="B154" s="13" t="e">
        <f>VLOOKUP(A154,LineItems!D:E,2,FALSE)</f>
        <v>#N/A</v>
      </c>
      <c r="C154" s="14" t="e">
        <f>F154</f>
        <v>#N/A</v>
      </c>
      <c r="D154" s="13" t="e">
        <f>VLOOKUP(A154,data!A:D,4,FALSE)</f>
        <v>#N/A</v>
      </c>
      <c r="E154" s="13" t="e">
        <f>VLOOKUP(A154,data!A:E,5,FALSE)</f>
        <v>#N/A</v>
      </c>
      <c r="F154" s="15" t="e">
        <f>VLOOKUP(A154,LineItems!D:I,6,FALSE) / VLOOKUP(A154,LineItems!D:I,5,FALSE)</f>
        <v>#N/A</v>
      </c>
      <c r="G154" s="16" t="e">
        <f xml:space="preserve"> IF((VLOOKUP(A154,data!A:C,3,FALSE)-F154)=0,"No Change","Price Changed")</f>
        <v>#N/A</v>
      </c>
    </row>
    <row r="155" spans="2:7" x14ac:dyDescent="0.2">
      <c r="B155" s="13" t="e">
        <f>VLOOKUP(A155,LineItems!D:E,2,FALSE)</f>
        <v>#N/A</v>
      </c>
      <c r="C155" s="14" t="e">
        <f>F155</f>
        <v>#N/A</v>
      </c>
      <c r="D155" s="13" t="e">
        <f>VLOOKUP(A155,data!A:D,4,FALSE)</f>
        <v>#N/A</v>
      </c>
      <c r="E155" s="13" t="e">
        <f>VLOOKUP(A155,data!A:E,5,FALSE)</f>
        <v>#N/A</v>
      </c>
      <c r="F155" s="15" t="e">
        <f>VLOOKUP(A155,LineItems!D:I,6,FALSE) / VLOOKUP(A155,LineItems!D:I,5,FALSE)</f>
        <v>#N/A</v>
      </c>
      <c r="G155" s="16" t="e">
        <f xml:space="preserve"> IF((VLOOKUP(A155,data!A:C,3,FALSE)-F155)=0,"No Change","Price Changed")</f>
        <v>#N/A</v>
      </c>
    </row>
    <row r="156" spans="2:7" x14ac:dyDescent="0.2">
      <c r="B156" s="13" t="e">
        <f>VLOOKUP(A156,LineItems!D:E,2,FALSE)</f>
        <v>#N/A</v>
      </c>
      <c r="C156" s="14" t="e">
        <f>F156</f>
        <v>#N/A</v>
      </c>
      <c r="D156" s="13" t="e">
        <f>VLOOKUP(A156,data!A:D,4,FALSE)</f>
        <v>#N/A</v>
      </c>
      <c r="E156" s="13" t="e">
        <f>VLOOKUP(A156,data!A:E,5,FALSE)</f>
        <v>#N/A</v>
      </c>
      <c r="F156" s="15" t="e">
        <f>VLOOKUP(A156,LineItems!D:I,6,FALSE) / VLOOKUP(A156,LineItems!D:I,5,FALSE)</f>
        <v>#N/A</v>
      </c>
      <c r="G156" s="16" t="e">
        <f xml:space="preserve"> IF((VLOOKUP(A156,data!A:C,3,FALSE)-F156)=0,"No Change","Price Changed")</f>
        <v>#N/A</v>
      </c>
    </row>
    <row r="157" spans="2:7" x14ac:dyDescent="0.2">
      <c r="B157" s="13" t="e">
        <f>VLOOKUP(A157,LineItems!D:E,2,FALSE)</f>
        <v>#N/A</v>
      </c>
      <c r="C157" s="14" t="e">
        <f>F157</f>
        <v>#N/A</v>
      </c>
      <c r="D157" s="13" t="e">
        <f>VLOOKUP(A157,data!A:D,4,FALSE)</f>
        <v>#N/A</v>
      </c>
      <c r="E157" s="13" t="e">
        <f>VLOOKUP(A157,data!A:E,5,FALSE)</f>
        <v>#N/A</v>
      </c>
      <c r="F157" s="15" t="e">
        <f>VLOOKUP(A157,LineItems!D:I,6,FALSE) / VLOOKUP(A157,LineItems!D:I,5,FALSE)</f>
        <v>#N/A</v>
      </c>
      <c r="G157" s="16" t="e">
        <f xml:space="preserve"> IF((VLOOKUP(A157,data!A:C,3,FALSE)-F157)=0,"No Change","Price Changed")</f>
        <v>#N/A</v>
      </c>
    </row>
    <row r="158" spans="2:7" x14ac:dyDescent="0.2">
      <c r="B158" s="13" t="e">
        <f>VLOOKUP(A158,LineItems!D:E,2,FALSE)</f>
        <v>#N/A</v>
      </c>
      <c r="C158" s="14" t="e">
        <f>F158</f>
        <v>#N/A</v>
      </c>
      <c r="D158" s="13" t="e">
        <f>VLOOKUP(A158,data!A:D,4,FALSE)</f>
        <v>#N/A</v>
      </c>
      <c r="E158" s="13" t="e">
        <f>VLOOKUP(A158,data!A:E,5,FALSE)</f>
        <v>#N/A</v>
      </c>
      <c r="F158" s="15" t="e">
        <f>VLOOKUP(A158,LineItems!D:I,6,FALSE) / VLOOKUP(A158,LineItems!D:I,5,FALSE)</f>
        <v>#N/A</v>
      </c>
      <c r="G158" s="16" t="e">
        <f xml:space="preserve"> IF((VLOOKUP(A158,data!A:C,3,FALSE)-F158)=0,"No Change","Price Changed")</f>
        <v>#N/A</v>
      </c>
    </row>
    <row r="159" spans="2:7" x14ac:dyDescent="0.2">
      <c r="B159" s="13" t="e">
        <f>VLOOKUP(A159,LineItems!D:E,2,FALSE)</f>
        <v>#N/A</v>
      </c>
      <c r="C159" s="14" t="e">
        <f>F159</f>
        <v>#N/A</v>
      </c>
      <c r="D159" s="13" t="e">
        <f>VLOOKUP(A159,data!A:D,4,FALSE)</f>
        <v>#N/A</v>
      </c>
      <c r="E159" s="13" t="e">
        <f>VLOOKUP(A159,data!A:E,5,FALSE)</f>
        <v>#N/A</v>
      </c>
      <c r="F159" s="15" t="e">
        <f>VLOOKUP(A159,LineItems!D:I,6,FALSE) / VLOOKUP(A159,LineItems!D:I,5,FALSE)</f>
        <v>#N/A</v>
      </c>
      <c r="G159" s="16" t="e">
        <f xml:space="preserve"> IF((VLOOKUP(A159,data!A:C,3,FALSE)-F159)=0,"No Change","Price Changed")</f>
        <v>#N/A</v>
      </c>
    </row>
    <row r="160" spans="2:7" x14ac:dyDescent="0.2">
      <c r="B160" s="13" t="e">
        <f>VLOOKUP(A160,LineItems!D:E,2,FALSE)</f>
        <v>#N/A</v>
      </c>
      <c r="C160" s="14" t="e">
        <f>F160</f>
        <v>#N/A</v>
      </c>
      <c r="D160" s="13" t="e">
        <f>VLOOKUP(A160,data!A:D,4,FALSE)</f>
        <v>#N/A</v>
      </c>
      <c r="E160" s="13" t="e">
        <f>VLOOKUP(A160,data!A:E,5,FALSE)</f>
        <v>#N/A</v>
      </c>
      <c r="F160" s="15" t="e">
        <f>VLOOKUP(A160,LineItems!D:I,6,FALSE) / VLOOKUP(A160,LineItems!D:I,5,FALSE)</f>
        <v>#N/A</v>
      </c>
      <c r="G160" s="16" t="e">
        <f xml:space="preserve"> IF((VLOOKUP(A160,data!A:C,3,FALSE)-F160)=0,"No Change","Price Changed")</f>
        <v>#N/A</v>
      </c>
    </row>
    <row r="161" spans="2:7" x14ac:dyDescent="0.2">
      <c r="B161" s="13" t="e">
        <f>VLOOKUP(A161,LineItems!D:E,2,FALSE)</f>
        <v>#N/A</v>
      </c>
      <c r="C161" s="14" t="e">
        <f>F161</f>
        <v>#N/A</v>
      </c>
      <c r="D161" s="13" t="e">
        <f>VLOOKUP(A161,data!A:D,4,FALSE)</f>
        <v>#N/A</v>
      </c>
      <c r="E161" s="13" t="e">
        <f>VLOOKUP(A161,data!A:E,5,FALSE)</f>
        <v>#N/A</v>
      </c>
      <c r="F161" s="15" t="e">
        <f>VLOOKUP(A161,LineItems!D:I,6,FALSE) / VLOOKUP(A161,LineItems!D:I,5,FALSE)</f>
        <v>#N/A</v>
      </c>
      <c r="G161" s="16" t="e">
        <f xml:space="preserve"> IF((VLOOKUP(A161,data!A:C,3,FALSE)-F161)=0,"No Change","Price Changed")</f>
        <v>#N/A</v>
      </c>
    </row>
    <row r="162" spans="2:7" x14ac:dyDescent="0.2">
      <c r="B162" s="13" t="e">
        <f>VLOOKUP(A162,LineItems!D:E,2,FALSE)</f>
        <v>#N/A</v>
      </c>
      <c r="C162" s="14" t="e">
        <f>F162</f>
        <v>#N/A</v>
      </c>
      <c r="D162" s="13" t="e">
        <f>VLOOKUP(A162,data!A:D,4,FALSE)</f>
        <v>#N/A</v>
      </c>
      <c r="E162" s="13" t="e">
        <f>VLOOKUP(A162,data!A:E,5,FALSE)</f>
        <v>#N/A</v>
      </c>
      <c r="F162" s="15" t="e">
        <f>VLOOKUP(A162,LineItems!D:I,6,FALSE) / VLOOKUP(A162,LineItems!D:I,5,FALSE)</f>
        <v>#N/A</v>
      </c>
      <c r="G162" s="16" t="e">
        <f xml:space="preserve"> IF((VLOOKUP(A162,data!A:C,3,FALSE)-F162)=0,"No Change","Price Changed")</f>
        <v>#N/A</v>
      </c>
    </row>
    <row r="163" spans="2:7" x14ac:dyDescent="0.2">
      <c r="B163" s="13" t="e">
        <f>VLOOKUP(A163,LineItems!D:E,2,FALSE)</f>
        <v>#N/A</v>
      </c>
      <c r="C163" s="14" t="e">
        <f>F163</f>
        <v>#N/A</v>
      </c>
      <c r="D163" s="13" t="e">
        <f>VLOOKUP(A163,data!A:D,4,FALSE)</f>
        <v>#N/A</v>
      </c>
      <c r="E163" s="13" t="e">
        <f>VLOOKUP(A163,data!A:E,5,FALSE)</f>
        <v>#N/A</v>
      </c>
      <c r="F163" s="15" t="e">
        <f>VLOOKUP(A163,LineItems!D:I,6,FALSE) / VLOOKUP(A163,LineItems!D:I,5,FALSE)</f>
        <v>#N/A</v>
      </c>
      <c r="G163" s="16" t="e">
        <f xml:space="preserve"> IF((VLOOKUP(A163,data!A:C,3,FALSE)-F163)=0,"No Change","Price Changed")</f>
        <v>#N/A</v>
      </c>
    </row>
    <row r="164" spans="2:7" x14ac:dyDescent="0.2">
      <c r="B164" s="13" t="e">
        <f>VLOOKUP(A164,LineItems!D:E,2,FALSE)</f>
        <v>#N/A</v>
      </c>
      <c r="C164" s="14" t="e">
        <f>F164</f>
        <v>#N/A</v>
      </c>
      <c r="D164" s="13" t="e">
        <f>VLOOKUP(A164,data!A:D,4,FALSE)</f>
        <v>#N/A</v>
      </c>
      <c r="E164" s="13" t="e">
        <f>VLOOKUP(A164,data!A:E,5,FALSE)</f>
        <v>#N/A</v>
      </c>
      <c r="F164" s="15" t="e">
        <f>VLOOKUP(A164,LineItems!D:I,6,FALSE) / VLOOKUP(A164,LineItems!D:I,5,FALSE)</f>
        <v>#N/A</v>
      </c>
      <c r="G164" s="16" t="e">
        <f xml:space="preserve"> IF((VLOOKUP(A164,data!A:C,3,FALSE)-F164)=0,"No Change","Price Changed")</f>
        <v>#N/A</v>
      </c>
    </row>
    <row r="165" spans="2:7" x14ac:dyDescent="0.2">
      <c r="B165" s="13" t="e">
        <f>VLOOKUP(A165,LineItems!D:E,2,FALSE)</f>
        <v>#N/A</v>
      </c>
      <c r="C165" s="14" t="e">
        <f>F165</f>
        <v>#N/A</v>
      </c>
      <c r="D165" s="13" t="e">
        <f>VLOOKUP(A165,data!A:D,4,FALSE)</f>
        <v>#N/A</v>
      </c>
      <c r="E165" s="13" t="e">
        <f>VLOOKUP(A165,data!A:E,5,FALSE)</f>
        <v>#N/A</v>
      </c>
      <c r="F165" s="15" t="e">
        <f>VLOOKUP(A165,LineItems!D:I,6,FALSE) / VLOOKUP(A165,LineItems!D:I,5,FALSE)</f>
        <v>#N/A</v>
      </c>
      <c r="G165" s="16" t="e">
        <f xml:space="preserve"> IF((VLOOKUP(A165,data!A:C,3,FALSE)-F165)=0,"No Change","Price Changed")</f>
        <v>#N/A</v>
      </c>
    </row>
    <row r="166" spans="2:7" x14ac:dyDescent="0.2">
      <c r="B166" s="13" t="e">
        <f>VLOOKUP(A166,LineItems!D:E,2,FALSE)</f>
        <v>#N/A</v>
      </c>
      <c r="C166" s="14" t="e">
        <f>F166</f>
        <v>#N/A</v>
      </c>
      <c r="D166" s="13" t="e">
        <f>VLOOKUP(A166,data!A:D,4,FALSE)</f>
        <v>#N/A</v>
      </c>
      <c r="E166" s="13" t="e">
        <f>VLOOKUP(A166,data!A:E,5,FALSE)</f>
        <v>#N/A</v>
      </c>
      <c r="F166" s="15" t="e">
        <f>VLOOKUP(A166,LineItems!D:I,6,FALSE) / VLOOKUP(A166,LineItems!D:I,5,FALSE)</f>
        <v>#N/A</v>
      </c>
      <c r="G166" s="16" t="e">
        <f xml:space="preserve"> IF((VLOOKUP(A166,data!A:C,3,FALSE)-F166)=0,"No Change","Price Changed")</f>
        <v>#N/A</v>
      </c>
    </row>
    <row r="167" spans="2:7" x14ac:dyDescent="0.2">
      <c r="B167" s="13" t="e">
        <f>VLOOKUP(A167,LineItems!D:E,2,FALSE)</f>
        <v>#N/A</v>
      </c>
      <c r="C167" s="14" t="e">
        <f>F167</f>
        <v>#N/A</v>
      </c>
      <c r="D167" s="13" t="e">
        <f>VLOOKUP(A167,data!A:D,4,FALSE)</f>
        <v>#N/A</v>
      </c>
      <c r="E167" s="13" t="e">
        <f>VLOOKUP(A167,data!A:E,5,FALSE)</f>
        <v>#N/A</v>
      </c>
      <c r="F167" s="15" t="e">
        <f>VLOOKUP(A167,LineItems!D:I,6,FALSE) / VLOOKUP(A167,LineItems!D:I,5,FALSE)</f>
        <v>#N/A</v>
      </c>
      <c r="G167" s="16" t="e">
        <f xml:space="preserve"> IF((VLOOKUP(A167,data!A:C,3,FALSE)-F167)=0,"No Change","Price Changed")</f>
        <v>#N/A</v>
      </c>
    </row>
    <row r="168" spans="2:7" x14ac:dyDescent="0.2">
      <c r="B168" s="13" t="e">
        <f>VLOOKUP(A168,LineItems!D:E,2,FALSE)</f>
        <v>#N/A</v>
      </c>
      <c r="C168" s="14" t="e">
        <f>F168</f>
        <v>#N/A</v>
      </c>
      <c r="D168" s="13" t="e">
        <f>VLOOKUP(A168,data!A:D,4,FALSE)</f>
        <v>#N/A</v>
      </c>
      <c r="E168" s="13" t="e">
        <f>VLOOKUP(A168,data!A:E,5,FALSE)</f>
        <v>#N/A</v>
      </c>
      <c r="F168" s="15" t="e">
        <f>VLOOKUP(A168,LineItems!D:I,6,FALSE) / VLOOKUP(A168,LineItems!D:I,5,FALSE)</f>
        <v>#N/A</v>
      </c>
      <c r="G168" s="16" t="e">
        <f xml:space="preserve"> IF((VLOOKUP(A168,data!A:C,3,FALSE)-F168)=0,"No Change","Price Changed")</f>
        <v>#N/A</v>
      </c>
    </row>
    <row r="169" spans="2:7" x14ac:dyDescent="0.2">
      <c r="B169" s="13" t="e">
        <f>VLOOKUP(A169,LineItems!D:E,2,FALSE)</f>
        <v>#N/A</v>
      </c>
      <c r="C169" s="14" t="e">
        <f>F169</f>
        <v>#N/A</v>
      </c>
      <c r="D169" s="13" t="e">
        <f>VLOOKUP(A169,data!A:D,4,FALSE)</f>
        <v>#N/A</v>
      </c>
      <c r="E169" s="13" t="e">
        <f>VLOOKUP(A169,data!A:E,5,FALSE)</f>
        <v>#N/A</v>
      </c>
      <c r="F169" s="15" t="e">
        <f>VLOOKUP(A169,LineItems!D:I,6,FALSE) / VLOOKUP(A169,LineItems!D:I,5,FALSE)</f>
        <v>#N/A</v>
      </c>
      <c r="G169" s="16" t="e">
        <f xml:space="preserve"> IF((VLOOKUP(A169,data!A:C,3,FALSE)-F169)=0,"No Change","Price Changed")</f>
        <v>#N/A</v>
      </c>
    </row>
    <row r="170" spans="2:7" x14ac:dyDescent="0.2">
      <c r="B170" s="13" t="e">
        <f>VLOOKUP(A170,LineItems!D:E,2,FALSE)</f>
        <v>#N/A</v>
      </c>
      <c r="C170" s="14" t="e">
        <f>F170</f>
        <v>#N/A</v>
      </c>
      <c r="D170" s="13" t="e">
        <f>VLOOKUP(A170,data!A:D,4,FALSE)</f>
        <v>#N/A</v>
      </c>
      <c r="E170" s="13" t="e">
        <f>VLOOKUP(A170,data!A:E,5,FALSE)</f>
        <v>#N/A</v>
      </c>
      <c r="F170" s="15" t="e">
        <f>VLOOKUP(A170,LineItems!D:I,6,FALSE) / VLOOKUP(A170,LineItems!D:I,5,FALSE)</f>
        <v>#N/A</v>
      </c>
      <c r="G170" s="16" t="e">
        <f xml:space="preserve"> IF((VLOOKUP(A170,data!A:C,3,FALSE)-F170)=0,"No Change","Price Changed")</f>
        <v>#N/A</v>
      </c>
    </row>
    <row r="171" spans="2:7" x14ac:dyDescent="0.2">
      <c r="B171" s="13" t="e">
        <f>VLOOKUP(A171,LineItems!D:E,2,FALSE)</f>
        <v>#N/A</v>
      </c>
      <c r="C171" s="14" t="e">
        <f>F171</f>
        <v>#N/A</v>
      </c>
      <c r="D171" s="13" t="e">
        <f>VLOOKUP(A171,data!A:D,4,FALSE)</f>
        <v>#N/A</v>
      </c>
      <c r="E171" s="13" t="e">
        <f>VLOOKUP(A171,data!A:E,5,FALSE)</f>
        <v>#N/A</v>
      </c>
      <c r="F171" s="15" t="e">
        <f>VLOOKUP(A171,LineItems!D:I,6,FALSE) / VLOOKUP(A171,LineItems!D:I,5,FALSE)</f>
        <v>#N/A</v>
      </c>
      <c r="G171" s="16" t="e">
        <f xml:space="preserve"> IF((VLOOKUP(A171,data!A:C,3,FALSE)-F171)=0,"No Change","Price Changed")</f>
        <v>#N/A</v>
      </c>
    </row>
    <row r="172" spans="2:7" x14ac:dyDescent="0.2">
      <c r="B172" s="13" t="e">
        <f>VLOOKUP(A172,LineItems!D:E,2,FALSE)</f>
        <v>#N/A</v>
      </c>
      <c r="C172" s="14" t="e">
        <f>F172</f>
        <v>#N/A</v>
      </c>
      <c r="D172" s="13" t="e">
        <f>VLOOKUP(A172,data!A:D,4,FALSE)</f>
        <v>#N/A</v>
      </c>
      <c r="E172" s="13" t="e">
        <f>VLOOKUP(A172,data!A:E,5,FALSE)</f>
        <v>#N/A</v>
      </c>
      <c r="F172" s="15" t="e">
        <f>VLOOKUP(A172,LineItems!D:I,6,FALSE) / VLOOKUP(A172,LineItems!D:I,5,FALSE)</f>
        <v>#N/A</v>
      </c>
      <c r="G172" s="16" t="e">
        <f xml:space="preserve"> IF((VLOOKUP(A172,data!A:C,3,FALSE)-F172)=0,"No Change","Price Changed")</f>
        <v>#N/A</v>
      </c>
    </row>
    <row r="173" spans="2:7" x14ac:dyDescent="0.2">
      <c r="B173" s="13" t="e">
        <f>VLOOKUP(A173,LineItems!D:E,2,FALSE)</f>
        <v>#N/A</v>
      </c>
      <c r="C173" s="14" t="e">
        <f>F173</f>
        <v>#N/A</v>
      </c>
      <c r="D173" s="13" t="e">
        <f>VLOOKUP(A173,data!A:D,4,FALSE)</f>
        <v>#N/A</v>
      </c>
      <c r="E173" s="13" t="e">
        <f>VLOOKUP(A173,data!A:E,5,FALSE)</f>
        <v>#N/A</v>
      </c>
      <c r="F173" s="15" t="e">
        <f>VLOOKUP(A173,LineItems!D:I,6,FALSE) / VLOOKUP(A173,LineItems!D:I,5,FALSE)</f>
        <v>#N/A</v>
      </c>
      <c r="G173" s="16" t="e">
        <f xml:space="preserve"> IF((VLOOKUP(A173,data!A:C,3,FALSE)-F173)=0,"No Change","Price Changed")</f>
        <v>#N/A</v>
      </c>
    </row>
    <row r="174" spans="2:7" x14ac:dyDescent="0.2">
      <c r="B174" s="13" t="e">
        <f>VLOOKUP(A174,LineItems!D:E,2,FALSE)</f>
        <v>#N/A</v>
      </c>
      <c r="C174" s="14" t="e">
        <f>F174</f>
        <v>#N/A</v>
      </c>
      <c r="D174" s="13" t="e">
        <f>VLOOKUP(A174,data!A:D,4,FALSE)</f>
        <v>#N/A</v>
      </c>
      <c r="E174" s="13" t="e">
        <f>VLOOKUP(A174,data!A:E,5,FALSE)</f>
        <v>#N/A</v>
      </c>
      <c r="F174" s="15" t="e">
        <f>VLOOKUP(A174,LineItems!D:I,6,FALSE) / VLOOKUP(A174,LineItems!D:I,5,FALSE)</f>
        <v>#N/A</v>
      </c>
      <c r="G174" s="16" t="e">
        <f xml:space="preserve"> IF((VLOOKUP(A174,data!A:C,3,FALSE)-F174)=0,"No Change","Price Changed")</f>
        <v>#N/A</v>
      </c>
    </row>
    <row r="175" spans="2:7" x14ac:dyDescent="0.2">
      <c r="B175" s="13" t="e">
        <f>VLOOKUP(A175,LineItems!D:E,2,FALSE)</f>
        <v>#N/A</v>
      </c>
      <c r="C175" s="14" t="e">
        <f>F175</f>
        <v>#N/A</v>
      </c>
      <c r="D175" s="13" t="e">
        <f>VLOOKUP(A175,data!A:D,4,FALSE)</f>
        <v>#N/A</v>
      </c>
      <c r="E175" s="13" t="e">
        <f>VLOOKUP(A175,data!A:E,5,FALSE)</f>
        <v>#N/A</v>
      </c>
      <c r="F175" s="15" t="e">
        <f>VLOOKUP(A175,LineItems!D:I,6,FALSE) / VLOOKUP(A175,LineItems!D:I,5,FALSE)</f>
        <v>#N/A</v>
      </c>
      <c r="G175" s="16" t="e">
        <f xml:space="preserve"> IF((VLOOKUP(A175,data!A:C,3,FALSE)-F175)=0,"No Change","Price Changed")</f>
        <v>#N/A</v>
      </c>
    </row>
    <row r="176" spans="2:7" x14ac:dyDescent="0.2">
      <c r="B176" s="13" t="e">
        <f>VLOOKUP(A176,LineItems!D:E,2,FALSE)</f>
        <v>#N/A</v>
      </c>
      <c r="C176" s="14" t="e">
        <f>F176</f>
        <v>#N/A</v>
      </c>
      <c r="D176" s="13" t="e">
        <f>VLOOKUP(A176,data!A:D,4,FALSE)</f>
        <v>#N/A</v>
      </c>
      <c r="E176" s="13" t="e">
        <f>VLOOKUP(A176,data!A:E,5,FALSE)</f>
        <v>#N/A</v>
      </c>
      <c r="F176" s="15" t="e">
        <f>VLOOKUP(A176,LineItems!D:I,6,FALSE) / VLOOKUP(A176,LineItems!D:I,5,FALSE)</f>
        <v>#N/A</v>
      </c>
      <c r="G176" s="16" t="e">
        <f xml:space="preserve"> IF((VLOOKUP(A176,data!A:C,3,FALSE)-F176)=0,"No Change","Price Changed")</f>
        <v>#N/A</v>
      </c>
    </row>
    <row r="177" spans="2:7" x14ac:dyDescent="0.2">
      <c r="B177" s="13" t="e">
        <f>VLOOKUP(A177,LineItems!D:E,2,FALSE)</f>
        <v>#N/A</v>
      </c>
      <c r="C177" s="14" t="e">
        <f>F177</f>
        <v>#N/A</v>
      </c>
      <c r="D177" s="13" t="e">
        <f>VLOOKUP(A177,data!A:D,4,FALSE)</f>
        <v>#N/A</v>
      </c>
      <c r="E177" s="13" t="e">
        <f>VLOOKUP(A177,data!A:E,5,FALSE)</f>
        <v>#N/A</v>
      </c>
      <c r="F177" s="15" t="e">
        <f>VLOOKUP(A177,LineItems!D:I,6,FALSE) / VLOOKUP(A177,LineItems!D:I,5,FALSE)</f>
        <v>#N/A</v>
      </c>
      <c r="G177" s="16" t="e">
        <f xml:space="preserve"> IF((VLOOKUP(A177,data!A:C,3,FALSE)-F177)=0,"No Change","Price Changed")</f>
        <v>#N/A</v>
      </c>
    </row>
    <row r="178" spans="2:7" x14ac:dyDescent="0.2">
      <c r="B178" s="13" t="e">
        <f>VLOOKUP(A178,LineItems!D:E,2,FALSE)</f>
        <v>#N/A</v>
      </c>
      <c r="C178" s="14" t="e">
        <f>F178</f>
        <v>#N/A</v>
      </c>
      <c r="D178" s="13" t="e">
        <f>VLOOKUP(A178,data!A:D,4,FALSE)</f>
        <v>#N/A</v>
      </c>
      <c r="E178" s="13" t="e">
        <f>VLOOKUP(A178,data!A:E,5,FALSE)</f>
        <v>#N/A</v>
      </c>
      <c r="F178" s="15" t="e">
        <f>VLOOKUP(A178,LineItems!D:I,6,FALSE) / VLOOKUP(A178,LineItems!D:I,5,FALSE)</f>
        <v>#N/A</v>
      </c>
      <c r="G178" s="16" t="e">
        <f xml:space="preserve"> IF((VLOOKUP(A178,data!A:C,3,FALSE)-F178)=0,"No Change","Price Changed")</f>
        <v>#N/A</v>
      </c>
    </row>
    <row r="179" spans="2:7" x14ac:dyDescent="0.2">
      <c r="B179" s="13" t="e">
        <f>VLOOKUP(A179,LineItems!D:E,2,FALSE)</f>
        <v>#N/A</v>
      </c>
      <c r="C179" s="14" t="e">
        <f>F179</f>
        <v>#N/A</v>
      </c>
      <c r="D179" s="13" t="e">
        <f>VLOOKUP(A179,data!A:D,4,FALSE)</f>
        <v>#N/A</v>
      </c>
      <c r="E179" s="13" t="e">
        <f>VLOOKUP(A179,data!A:E,5,FALSE)</f>
        <v>#N/A</v>
      </c>
      <c r="F179" s="15" t="e">
        <f>VLOOKUP(A179,LineItems!D:I,6,FALSE) / VLOOKUP(A179,LineItems!D:I,5,FALSE)</f>
        <v>#N/A</v>
      </c>
      <c r="G179" s="16" t="e">
        <f xml:space="preserve"> IF((VLOOKUP(A179,data!A:C,3,FALSE)-F179)=0,"No Change","Price Changed")</f>
        <v>#N/A</v>
      </c>
    </row>
    <row r="180" spans="2:7" x14ac:dyDescent="0.2">
      <c r="B180" s="13" t="e">
        <f>VLOOKUP(A180,LineItems!D:E,2,FALSE)</f>
        <v>#N/A</v>
      </c>
      <c r="C180" s="14" t="e">
        <f>F180</f>
        <v>#N/A</v>
      </c>
      <c r="D180" s="13" t="e">
        <f>VLOOKUP(A180,data!A:D,4,FALSE)</f>
        <v>#N/A</v>
      </c>
      <c r="E180" s="13" t="e">
        <f>VLOOKUP(A180,data!A:E,5,FALSE)</f>
        <v>#N/A</v>
      </c>
      <c r="F180" s="15" t="e">
        <f>VLOOKUP(A180,LineItems!D:I,6,FALSE) / VLOOKUP(A180,LineItems!D:I,5,FALSE)</f>
        <v>#N/A</v>
      </c>
      <c r="G180" s="16" t="e">
        <f xml:space="preserve"> IF((VLOOKUP(A180,data!A:C,3,FALSE)-F180)=0,"No Change","Price Changed")</f>
        <v>#N/A</v>
      </c>
    </row>
    <row r="181" spans="2:7" x14ac:dyDescent="0.2">
      <c r="B181" s="13" t="e">
        <f>VLOOKUP(A181,LineItems!D:E,2,FALSE)</f>
        <v>#N/A</v>
      </c>
      <c r="C181" s="14" t="e">
        <f>F181</f>
        <v>#N/A</v>
      </c>
      <c r="D181" s="13" t="e">
        <f>VLOOKUP(A181,data!A:D,4,FALSE)</f>
        <v>#N/A</v>
      </c>
      <c r="E181" s="13" t="e">
        <f>VLOOKUP(A181,data!A:E,5,FALSE)</f>
        <v>#N/A</v>
      </c>
      <c r="F181" s="15" t="e">
        <f>VLOOKUP(A181,LineItems!D:I,6,FALSE) / VLOOKUP(A181,LineItems!D:I,5,FALSE)</f>
        <v>#N/A</v>
      </c>
      <c r="G181" s="16" t="e">
        <f xml:space="preserve"> IF((VLOOKUP(A181,data!A:C,3,FALSE)-F181)=0,"No Change","Price Changed")</f>
        <v>#N/A</v>
      </c>
    </row>
    <row r="182" spans="2:7" x14ac:dyDescent="0.2">
      <c r="B182" s="13" t="e">
        <f>VLOOKUP(A182,LineItems!D:E,2,FALSE)</f>
        <v>#N/A</v>
      </c>
      <c r="C182" s="14" t="e">
        <f>F182</f>
        <v>#N/A</v>
      </c>
      <c r="D182" s="13" t="e">
        <f>VLOOKUP(A182,data!A:D,4,FALSE)</f>
        <v>#N/A</v>
      </c>
      <c r="E182" s="13" t="e">
        <f>VLOOKUP(A182,data!A:E,5,FALSE)</f>
        <v>#N/A</v>
      </c>
      <c r="F182" s="15" t="e">
        <f>VLOOKUP(A182,LineItems!D:I,6,FALSE) / VLOOKUP(A182,LineItems!D:I,5,FALSE)</f>
        <v>#N/A</v>
      </c>
      <c r="G182" s="16" t="e">
        <f xml:space="preserve"> IF((VLOOKUP(A182,data!A:C,3,FALSE)-F182)=0,"No Change","Price Changed")</f>
        <v>#N/A</v>
      </c>
    </row>
    <row r="183" spans="2:7" x14ac:dyDescent="0.2">
      <c r="B183" s="13" t="e">
        <f>VLOOKUP(A183,LineItems!D:E,2,FALSE)</f>
        <v>#N/A</v>
      </c>
      <c r="C183" s="14" t="e">
        <f>F183</f>
        <v>#N/A</v>
      </c>
      <c r="D183" s="13" t="e">
        <f>VLOOKUP(A183,data!A:D,4,FALSE)</f>
        <v>#N/A</v>
      </c>
      <c r="E183" s="13" t="e">
        <f>VLOOKUP(A183,data!A:E,5,FALSE)</f>
        <v>#N/A</v>
      </c>
      <c r="F183" s="15" t="e">
        <f>VLOOKUP(A183,LineItems!D:I,6,FALSE) / VLOOKUP(A183,LineItems!D:I,5,FALSE)</f>
        <v>#N/A</v>
      </c>
      <c r="G183" s="16" t="e">
        <f xml:space="preserve"> IF((VLOOKUP(A183,data!A:C,3,FALSE)-F183)=0,"No Change","Price Changed")</f>
        <v>#N/A</v>
      </c>
    </row>
    <row r="184" spans="2:7" x14ac:dyDescent="0.2">
      <c r="B184" s="13" t="e">
        <f>VLOOKUP(A184,LineItems!D:E,2,FALSE)</f>
        <v>#N/A</v>
      </c>
      <c r="C184" s="14" t="e">
        <f>F184</f>
        <v>#N/A</v>
      </c>
      <c r="D184" s="13" t="e">
        <f>VLOOKUP(A184,data!A:D,4,FALSE)</f>
        <v>#N/A</v>
      </c>
      <c r="E184" s="13" t="e">
        <f>VLOOKUP(A184,data!A:E,5,FALSE)</f>
        <v>#N/A</v>
      </c>
      <c r="F184" s="15" t="e">
        <f>VLOOKUP(A184,LineItems!D:I,6,FALSE) / VLOOKUP(A184,LineItems!D:I,5,FALSE)</f>
        <v>#N/A</v>
      </c>
      <c r="G184" s="16" t="e">
        <f xml:space="preserve"> IF((VLOOKUP(A184,data!A:C,3,FALSE)-F184)=0,"No Change","Price Changed")</f>
        <v>#N/A</v>
      </c>
    </row>
    <row r="185" spans="2:7" x14ac:dyDescent="0.2">
      <c r="B185" s="13" t="e">
        <f>VLOOKUP(A185,LineItems!D:E,2,FALSE)</f>
        <v>#N/A</v>
      </c>
      <c r="C185" s="14" t="e">
        <f>F185</f>
        <v>#N/A</v>
      </c>
      <c r="D185" s="13" t="e">
        <f>VLOOKUP(A185,data!A:D,4,FALSE)</f>
        <v>#N/A</v>
      </c>
      <c r="E185" s="13" t="e">
        <f>VLOOKUP(A185,data!A:E,5,FALSE)</f>
        <v>#N/A</v>
      </c>
      <c r="F185" s="15" t="e">
        <f>VLOOKUP(A185,LineItems!D:I,6,FALSE) / VLOOKUP(A185,LineItems!D:I,5,FALSE)</f>
        <v>#N/A</v>
      </c>
      <c r="G185" s="16" t="e">
        <f xml:space="preserve"> IF((VLOOKUP(A185,data!A:C,3,FALSE)-F185)=0,"No Change","Price Changed")</f>
        <v>#N/A</v>
      </c>
    </row>
    <row r="186" spans="2:7" x14ac:dyDescent="0.2">
      <c r="B186" s="13" t="e">
        <f>VLOOKUP(A186,LineItems!D:E,2,FALSE)</f>
        <v>#N/A</v>
      </c>
      <c r="C186" s="14" t="e">
        <f>F186</f>
        <v>#N/A</v>
      </c>
      <c r="D186" s="13" t="e">
        <f>VLOOKUP(A186,data!A:D,4,FALSE)</f>
        <v>#N/A</v>
      </c>
      <c r="E186" s="13" t="e">
        <f>VLOOKUP(A186,data!A:E,5,FALSE)</f>
        <v>#N/A</v>
      </c>
      <c r="F186" s="15" t="e">
        <f>VLOOKUP(A186,LineItems!D:I,6,FALSE) / VLOOKUP(A186,LineItems!D:I,5,FALSE)</f>
        <v>#N/A</v>
      </c>
      <c r="G186" s="16" t="e">
        <f xml:space="preserve"> IF((VLOOKUP(A186,data!A:C,3,FALSE)-F186)=0,"No Change","Price Changed")</f>
        <v>#N/A</v>
      </c>
    </row>
    <row r="187" spans="2:7" x14ac:dyDescent="0.2">
      <c r="B187" s="13" t="e">
        <f>VLOOKUP(A187,LineItems!D:E,2,FALSE)</f>
        <v>#N/A</v>
      </c>
      <c r="C187" s="14" t="e">
        <f>F187</f>
        <v>#N/A</v>
      </c>
      <c r="D187" s="13" t="e">
        <f>VLOOKUP(A187,data!A:D,4,FALSE)</f>
        <v>#N/A</v>
      </c>
      <c r="E187" s="13" t="e">
        <f>VLOOKUP(A187,data!A:E,5,FALSE)</f>
        <v>#N/A</v>
      </c>
      <c r="F187" s="15" t="e">
        <f>VLOOKUP(A187,LineItems!D:I,6,FALSE) / VLOOKUP(A187,LineItems!D:I,5,FALSE)</f>
        <v>#N/A</v>
      </c>
      <c r="G187" s="16" t="e">
        <f xml:space="preserve"> IF((VLOOKUP(A187,data!A:C,3,FALSE)-F187)=0,"No Change","Price Changed")</f>
        <v>#N/A</v>
      </c>
    </row>
    <row r="188" spans="2:7" x14ac:dyDescent="0.2">
      <c r="B188" s="13" t="e">
        <f>VLOOKUP(A188,LineItems!D:E,2,FALSE)</f>
        <v>#N/A</v>
      </c>
      <c r="C188" s="14" t="e">
        <f>F188</f>
        <v>#N/A</v>
      </c>
      <c r="D188" s="13" t="e">
        <f>VLOOKUP(A188,data!A:D,4,FALSE)</f>
        <v>#N/A</v>
      </c>
      <c r="E188" s="13" t="e">
        <f>VLOOKUP(A188,data!A:E,5,FALSE)</f>
        <v>#N/A</v>
      </c>
      <c r="F188" s="15" t="e">
        <f>VLOOKUP(A188,LineItems!D:I,6,FALSE) / VLOOKUP(A188,LineItems!D:I,5,FALSE)</f>
        <v>#N/A</v>
      </c>
      <c r="G188" s="16" t="e">
        <f xml:space="preserve"> IF((VLOOKUP(A188,data!A:C,3,FALSE)-F188)=0,"No Change","Price Changed")</f>
        <v>#N/A</v>
      </c>
    </row>
    <row r="189" spans="2:7" x14ac:dyDescent="0.2">
      <c r="B189" s="13" t="e">
        <f>VLOOKUP(A189,LineItems!D:E,2,FALSE)</f>
        <v>#N/A</v>
      </c>
      <c r="C189" s="14" t="e">
        <f>F189</f>
        <v>#N/A</v>
      </c>
      <c r="D189" s="13" t="e">
        <f>VLOOKUP(A189,data!A:D,4,FALSE)</f>
        <v>#N/A</v>
      </c>
      <c r="E189" s="13" t="e">
        <f>VLOOKUP(A189,data!A:E,5,FALSE)</f>
        <v>#N/A</v>
      </c>
      <c r="F189" s="15" t="e">
        <f>VLOOKUP(A189,LineItems!D:I,6,FALSE) / VLOOKUP(A189,LineItems!D:I,5,FALSE)</f>
        <v>#N/A</v>
      </c>
      <c r="G189" s="16" t="e">
        <f xml:space="preserve"> IF((VLOOKUP(A189,data!A:C,3,FALSE)-F189)=0,"No Change","Price Changed")</f>
        <v>#N/A</v>
      </c>
    </row>
    <row r="190" spans="2:7" x14ac:dyDescent="0.2">
      <c r="B190" s="13" t="e">
        <f>VLOOKUP(A190,LineItems!D:E,2,FALSE)</f>
        <v>#N/A</v>
      </c>
      <c r="C190" s="14" t="e">
        <f>F190</f>
        <v>#N/A</v>
      </c>
      <c r="D190" s="13" t="e">
        <f>VLOOKUP(A190,data!A:D,4,FALSE)</f>
        <v>#N/A</v>
      </c>
      <c r="E190" s="13" t="e">
        <f>VLOOKUP(A190,data!A:E,5,FALSE)</f>
        <v>#N/A</v>
      </c>
      <c r="F190" s="15" t="e">
        <f>VLOOKUP(A190,LineItems!D:I,6,FALSE) / VLOOKUP(A190,LineItems!D:I,5,FALSE)</f>
        <v>#N/A</v>
      </c>
      <c r="G190" s="16" t="e">
        <f xml:space="preserve"> IF((VLOOKUP(A190,data!A:C,3,FALSE)-F190)=0,"No Change","Price Changed")</f>
        <v>#N/A</v>
      </c>
    </row>
    <row r="191" spans="2:7" x14ac:dyDescent="0.2">
      <c r="B191" s="13" t="e">
        <f>VLOOKUP(A191,LineItems!D:E,2,FALSE)</f>
        <v>#N/A</v>
      </c>
      <c r="C191" s="14" t="e">
        <f>F191</f>
        <v>#N/A</v>
      </c>
      <c r="D191" s="13" t="e">
        <f>VLOOKUP(A191,data!A:D,4,FALSE)</f>
        <v>#N/A</v>
      </c>
      <c r="E191" s="13" t="e">
        <f>VLOOKUP(A191,data!A:E,5,FALSE)</f>
        <v>#N/A</v>
      </c>
      <c r="F191" s="15" t="e">
        <f>VLOOKUP(A191,LineItems!D:I,6,FALSE) / VLOOKUP(A191,LineItems!D:I,5,FALSE)</f>
        <v>#N/A</v>
      </c>
      <c r="G191" s="16" t="e">
        <f xml:space="preserve"> IF((VLOOKUP(A191,data!A:C,3,FALSE)-F191)=0,"No Change","Price Changed")</f>
        <v>#N/A</v>
      </c>
    </row>
    <row r="192" spans="2:7" x14ac:dyDescent="0.2">
      <c r="B192" s="13" t="e">
        <f>VLOOKUP(A192,LineItems!D:E,2,FALSE)</f>
        <v>#N/A</v>
      </c>
      <c r="C192" s="14" t="e">
        <f>F192</f>
        <v>#N/A</v>
      </c>
      <c r="D192" s="13" t="e">
        <f>VLOOKUP(A192,data!A:D,4,FALSE)</f>
        <v>#N/A</v>
      </c>
      <c r="E192" s="13" t="e">
        <f>VLOOKUP(A192,data!A:E,5,FALSE)</f>
        <v>#N/A</v>
      </c>
      <c r="F192" s="15" t="e">
        <f>VLOOKUP(A192,LineItems!D:I,6,FALSE) / VLOOKUP(A192,LineItems!D:I,5,FALSE)</f>
        <v>#N/A</v>
      </c>
      <c r="G192" s="16" t="e">
        <f xml:space="preserve"> IF((VLOOKUP(A192,data!A:C,3,FALSE)-F192)=0,"No Change","Price Changed")</f>
        <v>#N/A</v>
      </c>
    </row>
    <row r="193" spans="2:7" x14ac:dyDescent="0.2">
      <c r="B193" s="13" t="e">
        <f>VLOOKUP(A193,LineItems!D:E,2,FALSE)</f>
        <v>#N/A</v>
      </c>
      <c r="C193" s="14" t="e">
        <f>F193</f>
        <v>#N/A</v>
      </c>
      <c r="D193" s="13" t="e">
        <f>VLOOKUP(A193,data!A:D,4,FALSE)</f>
        <v>#N/A</v>
      </c>
      <c r="E193" s="13" t="e">
        <f>VLOOKUP(A193,data!A:E,5,FALSE)</f>
        <v>#N/A</v>
      </c>
      <c r="F193" s="15" t="e">
        <f>VLOOKUP(A193,LineItems!D:I,6,FALSE) / VLOOKUP(A193,LineItems!D:I,5,FALSE)</f>
        <v>#N/A</v>
      </c>
      <c r="G193" s="16" t="e">
        <f xml:space="preserve"> IF((VLOOKUP(A193,data!A:C,3,FALSE)-F193)=0,"No Change","Price Changed")</f>
        <v>#N/A</v>
      </c>
    </row>
    <row r="194" spans="2:7" x14ac:dyDescent="0.2">
      <c r="B194" s="13" t="e">
        <f>VLOOKUP(A194,LineItems!D:E,2,FALSE)</f>
        <v>#N/A</v>
      </c>
      <c r="C194" s="14" t="e">
        <f>F194</f>
        <v>#N/A</v>
      </c>
      <c r="D194" s="13" t="e">
        <f>VLOOKUP(A194,data!A:D,4,FALSE)</f>
        <v>#N/A</v>
      </c>
      <c r="E194" s="13" t="e">
        <f>VLOOKUP(A194,data!A:E,5,FALSE)</f>
        <v>#N/A</v>
      </c>
      <c r="F194" s="15" t="e">
        <f>VLOOKUP(A194,LineItems!D:I,6,FALSE) / VLOOKUP(A194,LineItems!D:I,5,FALSE)</f>
        <v>#N/A</v>
      </c>
      <c r="G194" s="16" t="e">
        <f xml:space="preserve"> IF((VLOOKUP(A194,data!A:C,3,FALSE)-F194)=0,"No Change","Price Changed")</f>
        <v>#N/A</v>
      </c>
    </row>
    <row r="195" spans="2:7" x14ac:dyDescent="0.2">
      <c r="B195" s="13" t="e">
        <f>VLOOKUP(A195,LineItems!D:E,2,FALSE)</f>
        <v>#N/A</v>
      </c>
      <c r="C195" s="14" t="e">
        <f>F195</f>
        <v>#N/A</v>
      </c>
      <c r="D195" s="13" t="e">
        <f>VLOOKUP(A195,data!A:D,4,FALSE)</f>
        <v>#N/A</v>
      </c>
      <c r="E195" s="13" t="e">
        <f>VLOOKUP(A195,data!A:E,5,FALSE)</f>
        <v>#N/A</v>
      </c>
      <c r="F195" s="15" t="e">
        <f>VLOOKUP(A195,LineItems!D:I,6,FALSE) / VLOOKUP(A195,LineItems!D:I,5,FALSE)</f>
        <v>#N/A</v>
      </c>
      <c r="G195" s="16" t="e">
        <f xml:space="preserve"> IF((VLOOKUP(A195,data!A:C,3,FALSE)-F195)=0,"No Change","Price Changed")</f>
        <v>#N/A</v>
      </c>
    </row>
    <row r="196" spans="2:7" x14ac:dyDescent="0.2">
      <c r="B196" s="13" t="e">
        <f>VLOOKUP(A196,LineItems!D:E,2,FALSE)</f>
        <v>#N/A</v>
      </c>
      <c r="C196" s="14" t="e">
        <f>F196</f>
        <v>#N/A</v>
      </c>
      <c r="D196" s="13" t="e">
        <f>VLOOKUP(A196,data!A:D,4,FALSE)</f>
        <v>#N/A</v>
      </c>
      <c r="E196" s="13" t="e">
        <f>VLOOKUP(A196,data!A:E,5,FALSE)</f>
        <v>#N/A</v>
      </c>
      <c r="F196" s="15" t="e">
        <f>VLOOKUP(A196,LineItems!D:I,6,FALSE) / VLOOKUP(A196,LineItems!D:I,5,FALSE)</f>
        <v>#N/A</v>
      </c>
      <c r="G196" s="16" t="e">
        <f xml:space="preserve"> IF((VLOOKUP(A196,data!A:C,3,FALSE)-F196)=0,"No Change","Price Changed")</f>
        <v>#N/A</v>
      </c>
    </row>
    <row r="197" spans="2:7" x14ac:dyDescent="0.2">
      <c r="B197" s="13" t="e">
        <f>VLOOKUP(A197,LineItems!D:E,2,FALSE)</f>
        <v>#N/A</v>
      </c>
      <c r="C197" s="14" t="e">
        <f>F197</f>
        <v>#N/A</v>
      </c>
      <c r="D197" s="13" t="e">
        <f>VLOOKUP(A197,data!A:D,4,FALSE)</f>
        <v>#N/A</v>
      </c>
      <c r="E197" s="13" t="e">
        <f>VLOOKUP(A197,data!A:E,5,FALSE)</f>
        <v>#N/A</v>
      </c>
      <c r="F197" s="15" t="e">
        <f>VLOOKUP(A197,LineItems!D:I,6,FALSE) / VLOOKUP(A197,LineItems!D:I,5,FALSE)</f>
        <v>#N/A</v>
      </c>
      <c r="G197" s="16" t="e">
        <f xml:space="preserve"> IF((VLOOKUP(A197,data!A:C,3,FALSE)-F197)=0,"No Change","Price Changed")</f>
        <v>#N/A</v>
      </c>
    </row>
    <row r="198" spans="2:7" x14ac:dyDescent="0.2">
      <c r="B198" s="13" t="e">
        <f>VLOOKUP(A198,LineItems!D:E,2,FALSE)</f>
        <v>#N/A</v>
      </c>
      <c r="C198" s="14" t="e">
        <f>F198</f>
        <v>#N/A</v>
      </c>
      <c r="D198" s="13" t="e">
        <f>VLOOKUP(A198,data!A:D,4,FALSE)</f>
        <v>#N/A</v>
      </c>
      <c r="E198" s="13" t="e">
        <f>VLOOKUP(A198,data!A:E,5,FALSE)</f>
        <v>#N/A</v>
      </c>
      <c r="F198" s="15" t="e">
        <f>VLOOKUP(A198,LineItems!D:I,6,FALSE) / VLOOKUP(A198,LineItems!D:I,5,FALSE)</f>
        <v>#N/A</v>
      </c>
      <c r="G198" s="16" t="e">
        <f xml:space="preserve"> IF((VLOOKUP(A198,data!A:C,3,FALSE)-F198)=0,"No Change","Price Changed")</f>
        <v>#N/A</v>
      </c>
    </row>
    <row r="199" spans="2:7" x14ac:dyDescent="0.2">
      <c r="B199" s="13" t="e">
        <f>VLOOKUP(A199,LineItems!D:E,2,FALSE)</f>
        <v>#N/A</v>
      </c>
      <c r="C199" s="14" t="e">
        <f>F199</f>
        <v>#N/A</v>
      </c>
      <c r="D199" s="13" t="e">
        <f>VLOOKUP(A199,data!A:D,4,FALSE)</f>
        <v>#N/A</v>
      </c>
      <c r="E199" s="13" t="e">
        <f>VLOOKUP(A199,data!A:E,5,FALSE)</f>
        <v>#N/A</v>
      </c>
      <c r="F199" s="15" t="e">
        <f>VLOOKUP(A199,LineItems!D:I,6,FALSE) / VLOOKUP(A199,LineItems!D:I,5,FALSE)</f>
        <v>#N/A</v>
      </c>
      <c r="G199" s="16" t="e">
        <f xml:space="preserve"> IF((VLOOKUP(A199,data!A:C,3,FALSE)-F199)=0,"No Change","Price Changed")</f>
        <v>#N/A</v>
      </c>
    </row>
    <row r="200" spans="2:7" x14ac:dyDescent="0.2">
      <c r="B200" s="13" t="e">
        <f>VLOOKUP(A200,LineItems!D:E,2,FALSE)</f>
        <v>#N/A</v>
      </c>
      <c r="C200" s="14" t="e">
        <f>F200</f>
        <v>#N/A</v>
      </c>
      <c r="D200" s="13" t="e">
        <f>VLOOKUP(A200,data!A:D,4,FALSE)</f>
        <v>#N/A</v>
      </c>
      <c r="E200" s="13" t="e">
        <f>VLOOKUP(A200,data!A:E,5,FALSE)</f>
        <v>#N/A</v>
      </c>
      <c r="F200" s="15" t="e">
        <f>VLOOKUP(A200,LineItems!D:I,6,FALSE) / VLOOKUP(A200,LineItems!D:I,5,FALSE)</f>
        <v>#N/A</v>
      </c>
      <c r="G200" s="16" t="e">
        <f xml:space="preserve"> IF((VLOOKUP(A200,data!A:C,3,FALSE)-F200)=0,"No Change","Price Changed")</f>
        <v>#N/A</v>
      </c>
    </row>
    <row r="201" spans="2:7" x14ac:dyDescent="0.2">
      <c r="B201" s="13" t="e">
        <f>VLOOKUP(A201,LineItems!D:E,2,FALSE)</f>
        <v>#N/A</v>
      </c>
      <c r="C201" s="14" t="e">
        <f>F201</f>
        <v>#N/A</v>
      </c>
      <c r="D201" s="13" t="e">
        <f>VLOOKUP(A201,data!A:D,4,FALSE)</f>
        <v>#N/A</v>
      </c>
      <c r="E201" s="13" t="e">
        <f>VLOOKUP(A201,data!A:E,5,FALSE)</f>
        <v>#N/A</v>
      </c>
      <c r="F201" s="15" t="e">
        <f>VLOOKUP(A201,LineItems!D:I,6,FALSE) / VLOOKUP(A201,LineItems!D:I,5,FALSE)</f>
        <v>#N/A</v>
      </c>
      <c r="G201" s="16" t="e">
        <f xml:space="preserve"> IF((VLOOKUP(A201,data!A:C,3,FALSE)-F201)=0,"No Change","Price Changed")</f>
        <v>#N/A</v>
      </c>
    </row>
    <row r="202" spans="2:7" x14ac:dyDescent="0.2">
      <c r="B202" s="13" t="e">
        <f>VLOOKUP(A202,LineItems!D:E,2,FALSE)</f>
        <v>#N/A</v>
      </c>
      <c r="C202" s="14" t="e">
        <f>F202</f>
        <v>#N/A</v>
      </c>
      <c r="D202" s="13" t="e">
        <f>VLOOKUP(A202,data!A:D,4,FALSE)</f>
        <v>#N/A</v>
      </c>
      <c r="E202" s="13" t="e">
        <f>VLOOKUP(A202,data!A:E,5,FALSE)</f>
        <v>#N/A</v>
      </c>
      <c r="F202" s="15" t="e">
        <f>VLOOKUP(A202,LineItems!D:I,6,FALSE) / VLOOKUP(A202,LineItems!D:I,5,FALSE)</f>
        <v>#N/A</v>
      </c>
      <c r="G202" s="16" t="e">
        <f xml:space="preserve"> IF((VLOOKUP(A202,data!A:C,3,FALSE)-F202)=0,"No Change","Price Changed")</f>
        <v>#N/A</v>
      </c>
    </row>
    <row r="203" spans="2:7" x14ac:dyDescent="0.2">
      <c r="B203" s="13" t="e">
        <f>VLOOKUP(A203,LineItems!D:E,2,FALSE)</f>
        <v>#N/A</v>
      </c>
      <c r="C203" s="14" t="e">
        <f>F203</f>
        <v>#N/A</v>
      </c>
      <c r="D203" s="13" t="e">
        <f>VLOOKUP(A203,data!A:D,4,FALSE)</f>
        <v>#N/A</v>
      </c>
      <c r="E203" s="13" t="e">
        <f>VLOOKUP(A203,data!A:E,5,FALSE)</f>
        <v>#N/A</v>
      </c>
      <c r="F203" s="15" t="e">
        <f>VLOOKUP(A203,LineItems!D:I,6,FALSE) / VLOOKUP(A203,LineItems!D:I,5,FALSE)</f>
        <v>#N/A</v>
      </c>
      <c r="G203" s="16" t="e">
        <f xml:space="preserve"> IF((VLOOKUP(A203,data!A:C,3,FALSE)-F203)=0,"No Change","Price Changed")</f>
        <v>#N/A</v>
      </c>
    </row>
    <row r="204" spans="2:7" x14ac:dyDescent="0.2">
      <c r="B204" s="13" t="e">
        <f>VLOOKUP(A204,LineItems!D:E,2,FALSE)</f>
        <v>#N/A</v>
      </c>
      <c r="C204" s="14" t="e">
        <f>F204</f>
        <v>#N/A</v>
      </c>
      <c r="D204" s="13" t="e">
        <f>VLOOKUP(A204,data!A:D,4,FALSE)</f>
        <v>#N/A</v>
      </c>
      <c r="E204" s="13" t="e">
        <f>VLOOKUP(A204,data!A:E,5,FALSE)</f>
        <v>#N/A</v>
      </c>
      <c r="F204" s="15" t="e">
        <f>VLOOKUP(A204,LineItems!D:I,6,FALSE) / VLOOKUP(A204,LineItems!D:I,5,FALSE)</f>
        <v>#N/A</v>
      </c>
      <c r="G204" s="16" t="e">
        <f xml:space="preserve"> IF((VLOOKUP(A204,data!A:C,3,FALSE)-F204)=0,"No Change","Price Changed")</f>
        <v>#N/A</v>
      </c>
    </row>
    <row r="205" spans="2:7" x14ac:dyDescent="0.2">
      <c r="B205" s="13" t="e">
        <f>VLOOKUP(A205,LineItems!D:E,2,FALSE)</f>
        <v>#N/A</v>
      </c>
      <c r="C205" s="14" t="e">
        <f>F205</f>
        <v>#N/A</v>
      </c>
      <c r="D205" s="13" t="e">
        <f>VLOOKUP(A205,data!A:D,4,FALSE)</f>
        <v>#N/A</v>
      </c>
      <c r="E205" s="13" t="e">
        <f>VLOOKUP(A205,data!A:E,5,FALSE)</f>
        <v>#N/A</v>
      </c>
      <c r="F205" s="15" t="e">
        <f>VLOOKUP(A205,LineItems!D:I,6,FALSE) / VLOOKUP(A205,LineItems!D:I,5,FALSE)</f>
        <v>#N/A</v>
      </c>
      <c r="G205" s="16" t="e">
        <f xml:space="preserve"> IF((VLOOKUP(A205,data!A:C,3,FALSE)-F205)=0,"No Change","Price Changed")</f>
        <v>#N/A</v>
      </c>
    </row>
    <row r="206" spans="2:7" x14ac:dyDescent="0.2">
      <c r="B206" s="13" t="e">
        <f>VLOOKUP(A206,LineItems!D:E,2,FALSE)</f>
        <v>#N/A</v>
      </c>
      <c r="C206" s="14" t="e">
        <f>F206</f>
        <v>#N/A</v>
      </c>
      <c r="D206" s="13" t="e">
        <f>VLOOKUP(A206,data!A:D,4,FALSE)</f>
        <v>#N/A</v>
      </c>
      <c r="E206" s="13" t="e">
        <f>VLOOKUP(A206,data!A:E,5,FALSE)</f>
        <v>#N/A</v>
      </c>
      <c r="F206" s="15" t="e">
        <f>VLOOKUP(A206,LineItems!D:I,6,FALSE) / VLOOKUP(A206,LineItems!D:I,5,FALSE)</f>
        <v>#N/A</v>
      </c>
      <c r="G206" s="16" t="e">
        <f xml:space="preserve"> IF((VLOOKUP(A206,data!A:C,3,FALSE)-F206)=0,"No Change","Price Changed")</f>
        <v>#N/A</v>
      </c>
    </row>
    <row r="207" spans="2:7" x14ac:dyDescent="0.2">
      <c r="B207" s="13" t="e">
        <f>VLOOKUP(A207,LineItems!D:E,2,FALSE)</f>
        <v>#N/A</v>
      </c>
      <c r="C207" s="14" t="e">
        <f>F207</f>
        <v>#N/A</v>
      </c>
      <c r="D207" s="13" t="e">
        <f>VLOOKUP(A207,data!A:D,4,FALSE)</f>
        <v>#N/A</v>
      </c>
      <c r="E207" s="13" t="e">
        <f>VLOOKUP(A207,data!A:E,5,FALSE)</f>
        <v>#N/A</v>
      </c>
      <c r="F207" s="15" t="e">
        <f>VLOOKUP(A207,LineItems!D:I,6,FALSE) / VLOOKUP(A207,LineItems!D:I,5,FALSE)</f>
        <v>#N/A</v>
      </c>
      <c r="G207" s="16" t="e">
        <f xml:space="preserve"> IF((VLOOKUP(A207,data!A:C,3,FALSE)-F207)=0,"No Change","Price Changed")</f>
        <v>#N/A</v>
      </c>
    </row>
    <row r="208" spans="2:7" x14ac:dyDescent="0.2">
      <c r="B208" s="13" t="e">
        <f>VLOOKUP(A208,LineItems!D:E,2,FALSE)</f>
        <v>#N/A</v>
      </c>
      <c r="C208" s="14" t="e">
        <f>F208</f>
        <v>#N/A</v>
      </c>
      <c r="D208" s="13" t="e">
        <f>VLOOKUP(A208,data!A:D,4,FALSE)</f>
        <v>#N/A</v>
      </c>
      <c r="E208" s="13" t="e">
        <f>VLOOKUP(A208,data!A:E,5,FALSE)</f>
        <v>#N/A</v>
      </c>
      <c r="F208" s="15" t="e">
        <f>VLOOKUP(A208,LineItems!D:I,6,FALSE) / VLOOKUP(A208,LineItems!D:I,5,FALSE)</f>
        <v>#N/A</v>
      </c>
      <c r="G208" s="16" t="e">
        <f xml:space="preserve"> IF((VLOOKUP(A208,data!A:C,3,FALSE)-F208)=0,"No Change","Price Changed")</f>
        <v>#N/A</v>
      </c>
    </row>
    <row r="209" spans="2:7" x14ac:dyDescent="0.2">
      <c r="B209" s="13" t="e">
        <f>VLOOKUP(A209,LineItems!D:E,2,FALSE)</f>
        <v>#N/A</v>
      </c>
      <c r="C209" s="14" t="e">
        <f>F209</f>
        <v>#N/A</v>
      </c>
      <c r="D209" s="13" t="e">
        <f>VLOOKUP(A209,data!A:D,4,FALSE)</f>
        <v>#N/A</v>
      </c>
      <c r="E209" s="13" t="e">
        <f>VLOOKUP(A209,data!A:E,5,FALSE)</f>
        <v>#N/A</v>
      </c>
      <c r="F209" s="15" t="e">
        <f>VLOOKUP(A209,LineItems!D:I,6,FALSE) / VLOOKUP(A209,LineItems!D:I,5,FALSE)</f>
        <v>#N/A</v>
      </c>
      <c r="G209" s="16" t="e">
        <f xml:space="preserve"> IF((VLOOKUP(A209,data!A:C,3,FALSE)-F209)=0,"No Change","Price Changed")</f>
        <v>#N/A</v>
      </c>
    </row>
    <row r="210" spans="2:7" x14ac:dyDescent="0.2">
      <c r="B210" s="13" t="e">
        <f>VLOOKUP(A210,LineItems!D:E,2,FALSE)</f>
        <v>#N/A</v>
      </c>
      <c r="C210" s="14" t="e">
        <f>F210</f>
        <v>#N/A</v>
      </c>
      <c r="D210" s="13" t="e">
        <f>VLOOKUP(A210,data!A:D,4,FALSE)</f>
        <v>#N/A</v>
      </c>
      <c r="E210" s="13" t="e">
        <f>VLOOKUP(A210,data!A:E,5,FALSE)</f>
        <v>#N/A</v>
      </c>
      <c r="F210" s="15" t="e">
        <f>VLOOKUP(A210,LineItems!D:I,6,FALSE) / VLOOKUP(A210,LineItems!D:I,5,FALSE)</f>
        <v>#N/A</v>
      </c>
      <c r="G210" s="16" t="e">
        <f xml:space="preserve"> IF((VLOOKUP(A210,data!A:C,3,FALSE)-F210)=0,"No Change","Price Changed")</f>
        <v>#N/A</v>
      </c>
    </row>
    <row r="211" spans="2:7" x14ac:dyDescent="0.2">
      <c r="B211" s="13" t="e">
        <f>VLOOKUP(A211,LineItems!D:E,2,FALSE)</f>
        <v>#N/A</v>
      </c>
      <c r="C211" s="14" t="e">
        <f>F211</f>
        <v>#N/A</v>
      </c>
      <c r="D211" s="13" t="e">
        <f>VLOOKUP(A211,data!A:D,4,FALSE)</f>
        <v>#N/A</v>
      </c>
      <c r="E211" s="13" t="e">
        <f>VLOOKUP(A211,data!A:E,5,FALSE)</f>
        <v>#N/A</v>
      </c>
      <c r="F211" s="15" t="e">
        <f>VLOOKUP(A211,LineItems!D:I,6,FALSE) / VLOOKUP(A211,LineItems!D:I,5,FALSE)</f>
        <v>#N/A</v>
      </c>
      <c r="G211" s="16" t="e">
        <f xml:space="preserve"> IF((VLOOKUP(A211,data!A:C,3,FALSE)-F211)=0,"No Change","Price Changed")</f>
        <v>#N/A</v>
      </c>
    </row>
    <row r="212" spans="2:7" x14ac:dyDescent="0.2">
      <c r="B212" s="13" t="e">
        <f>VLOOKUP(A212,LineItems!D:E,2,FALSE)</f>
        <v>#N/A</v>
      </c>
      <c r="C212" s="14" t="e">
        <f>F212</f>
        <v>#N/A</v>
      </c>
      <c r="D212" s="13" t="e">
        <f>VLOOKUP(A212,data!A:D,4,FALSE)</f>
        <v>#N/A</v>
      </c>
      <c r="E212" s="13" t="e">
        <f>VLOOKUP(A212,data!A:E,5,FALSE)</f>
        <v>#N/A</v>
      </c>
      <c r="F212" s="15" t="e">
        <f>VLOOKUP(A212,LineItems!D:I,6,FALSE) / VLOOKUP(A212,LineItems!D:I,5,FALSE)</f>
        <v>#N/A</v>
      </c>
      <c r="G212" s="16" t="e">
        <f xml:space="preserve"> IF((VLOOKUP(A212,data!A:C,3,FALSE)-F212)=0,"No Change","Price Changed")</f>
        <v>#N/A</v>
      </c>
    </row>
    <row r="213" spans="2:7" x14ac:dyDescent="0.2">
      <c r="B213" s="13" t="e">
        <f>VLOOKUP(A213,LineItems!D:E,2,FALSE)</f>
        <v>#N/A</v>
      </c>
      <c r="C213" s="14" t="e">
        <f>F213</f>
        <v>#N/A</v>
      </c>
      <c r="D213" s="13" t="e">
        <f>VLOOKUP(A213,data!A:D,4,FALSE)</f>
        <v>#N/A</v>
      </c>
      <c r="E213" s="13" t="e">
        <f>VLOOKUP(A213,data!A:E,5,FALSE)</f>
        <v>#N/A</v>
      </c>
      <c r="F213" s="15" t="e">
        <f>VLOOKUP(A213,LineItems!D:I,6,FALSE) / VLOOKUP(A213,LineItems!D:I,5,FALSE)</f>
        <v>#N/A</v>
      </c>
      <c r="G213" s="16" t="e">
        <f xml:space="preserve"> IF((VLOOKUP(A213,data!A:C,3,FALSE)-F213)=0,"No Change","Price Changed")</f>
        <v>#N/A</v>
      </c>
    </row>
    <row r="214" spans="2:7" x14ac:dyDescent="0.2">
      <c r="B214" s="13" t="e">
        <f>VLOOKUP(A214,LineItems!D:E,2,FALSE)</f>
        <v>#N/A</v>
      </c>
      <c r="C214" s="14" t="e">
        <f>F214</f>
        <v>#N/A</v>
      </c>
      <c r="D214" s="13" t="e">
        <f>VLOOKUP(A214,data!A:D,4,FALSE)</f>
        <v>#N/A</v>
      </c>
      <c r="E214" s="13" t="e">
        <f>VLOOKUP(A214,data!A:E,5,FALSE)</f>
        <v>#N/A</v>
      </c>
      <c r="F214" s="15" t="e">
        <f>VLOOKUP(A214,LineItems!D:I,6,FALSE) / VLOOKUP(A214,LineItems!D:I,5,FALSE)</f>
        <v>#N/A</v>
      </c>
      <c r="G214" s="16" t="e">
        <f xml:space="preserve"> IF((VLOOKUP(A214,data!A:C,3,FALSE)-F214)=0,"No Change","Price Changed")</f>
        <v>#N/A</v>
      </c>
    </row>
    <row r="215" spans="2:7" x14ac:dyDescent="0.2">
      <c r="B215" s="13" t="e">
        <f>VLOOKUP(A215,LineItems!D:E,2,FALSE)</f>
        <v>#N/A</v>
      </c>
      <c r="C215" s="14" t="e">
        <f>F215</f>
        <v>#N/A</v>
      </c>
      <c r="D215" s="13" t="e">
        <f>VLOOKUP(A215,data!A:D,4,FALSE)</f>
        <v>#N/A</v>
      </c>
      <c r="E215" s="13" t="e">
        <f>VLOOKUP(A215,data!A:E,5,FALSE)</f>
        <v>#N/A</v>
      </c>
      <c r="F215" s="15" t="e">
        <f>VLOOKUP(A215,LineItems!D:I,6,FALSE) / VLOOKUP(A215,LineItems!D:I,5,FALSE)</f>
        <v>#N/A</v>
      </c>
      <c r="G215" s="16" t="e">
        <f xml:space="preserve"> IF((VLOOKUP(A215,data!A:C,3,FALSE)-F215)=0,"No Change","Price Changed")</f>
        <v>#N/A</v>
      </c>
    </row>
    <row r="216" spans="2:7" x14ac:dyDescent="0.2">
      <c r="B216" s="13" t="e">
        <f>VLOOKUP(A216,LineItems!D:E,2,FALSE)</f>
        <v>#N/A</v>
      </c>
      <c r="C216" s="14" t="e">
        <f>F216</f>
        <v>#N/A</v>
      </c>
      <c r="D216" s="13" t="e">
        <f>VLOOKUP(A216,data!A:D,4,FALSE)</f>
        <v>#N/A</v>
      </c>
      <c r="E216" s="13" t="e">
        <f>VLOOKUP(A216,data!A:E,5,FALSE)</f>
        <v>#N/A</v>
      </c>
      <c r="F216" s="15" t="e">
        <f>VLOOKUP(A216,LineItems!D:I,6,FALSE) / VLOOKUP(A216,LineItems!D:I,5,FALSE)</f>
        <v>#N/A</v>
      </c>
      <c r="G216" s="16" t="e">
        <f xml:space="preserve"> IF((VLOOKUP(A216,data!A:C,3,FALSE)-F216)=0,"No Change","Price Changed")</f>
        <v>#N/A</v>
      </c>
    </row>
    <row r="217" spans="2:7" x14ac:dyDescent="0.2">
      <c r="B217" s="13" t="e">
        <f>VLOOKUP(A217,LineItems!D:E,2,FALSE)</f>
        <v>#N/A</v>
      </c>
      <c r="C217" s="14" t="e">
        <f>F217</f>
        <v>#N/A</v>
      </c>
      <c r="D217" s="13" t="e">
        <f>VLOOKUP(A217,data!A:D,4,FALSE)</f>
        <v>#N/A</v>
      </c>
      <c r="E217" s="13" t="e">
        <f>VLOOKUP(A217,data!A:E,5,FALSE)</f>
        <v>#N/A</v>
      </c>
      <c r="F217" s="15" t="e">
        <f>VLOOKUP(A217,LineItems!D:I,6,FALSE) / VLOOKUP(A217,LineItems!D:I,5,FALSE)</f>
        <v>#N/A</v>
      </c>
      <c r="G217" s="16" t="e">
        <f xml:space="preserve"> IF((VLOOKUP(A217,data!A:C,3,FALSE)-F217)=0,"No Change","Price Changed")</f>
        <v>#N/A</v>
      </c>
    </row>
    <row r="218" spans="2:7" x14ac:dyDescent="0.2">
      <c r="B218" s="13" t="e">
        <f>VLOOKUP(A218,LineItems!D:E,2,FALSE)</f>
        <v>#N/A</v>
      </c>
      <c r="C218" s="14" t="e">
        <f>F218</f>
        <v>#N/A</v>
      </c>
      <c r="D218" s="13" t="e">
        <f>VLOOKUP(A218,data!A:D,4,FALSE)</f>
        <v>#N/A</v>
      </c>
      <c r="E218" s="13" t="e">
        <f>VLOOKUP(A218,data!A:E,5,FALSE)</f>
        <v>#N/A</v>
      </c>
      <c r="F218" s="15" t="e">
        <f>VLOOKUP(A218,LineItems!D:I,6,FALSE) / VLOOKUP(A218,LineItems!D:I,5,FALSE)</f>
        <v>#N/A</v>
      </c>
      <c r="G218" s="16" t="e">
        <f xml:space="preserve"> IF((VLOOKUP(A218,data!A:C,3,FALSE)-F218)=0,"No Change","Price Changed")</f>
        <v>#N/A</v>
      </c>
    </row>
    <row r="219" spans="2:7" x14ac:dyDescent="0.2">
      <c r="B219" s="13" t="e">
        <f>VLOOKUP(A219,LineItems!D:E,2,FALSE)</f>
        <v>#N/A</v>
      </c>
      <c r="C219" s="14" t="e">
        <f>F219</f>
        <v>#N/A</v>
      </c>
      <c r="D219" s="13" t="e">
        <f>VLOOKUP(A219,data!A:D,4,FALSE)</f>
        <v>#N/A</v>
      </c>
      <c r="E219" s="13" t="e">
        <f>VLOOKUP(A219,data!A:E,5,FALSE)</f>
        <v>#N/A</v>
      </c>
      <c r="F219" s="15" t="e">
        <f>VLOOKUP(A219,LineItems!D:I,6,FALSE) / VLOOKUP(A219,LineItems!D:I,5,FALSE)</f>
        <v>#N/A</v>
      </c>
      <c r="G219" s="16" t="e">
        <f xml:space="preserve"> IF((VLOOKUP(A219,data!A:C,3,FALSE)-F219)=0,"No Change","Price Changed")</f>
        <v>#N/A</v>
      </c>
    </row>
    <row r="220" spans="2:7" x14ac:dyDescent="0.2">
      <c r="B220" s="13" t="e">
        <f>VLOOKUP(A220,LineItems!D:E,2,FALSE)</f>
        <v>#N/A</v>
      </c>
      <c r="C220" s="14" t="e">
        <f>F220</f>
        <v>#N/A</v>
      </c>
      <c r="D220" s="13" t="e">
        <f>VLOOKUP(A220,data!A:D,4,FALSE)</f>
        <v>#N/A</v>
      </c>
      <c r="E220" s="13" t="e">
        <f>VLOOKUP(A220,data!A:E,5,FALSE)</f>
        <v>#N/A</v>
      </c>
      <c r="F220" s="15" t="e">
        <f>VLOOKUP(A220,LineItems!D:I,6,FALSE) / VLOOKUP(A220,LineItems!D:I,5,FALSE)</f>
        <v>#N/A</v>
      </c>
      <c r="G220" s="16" t="e">
        <f xml:space="preserve"> IF((VLOOKUP(A220,data!A:C,3,FALSE)-F220)=0,"No Change","Price Changed")</f>
        <v>#N/A</v>
      </c>
    </row>
    <row r="221" spans="2:7" x14ac:dyDescent="0.2">
      <c r="B221" s="13" t="e">
        <f>VLOOKUP(A221,LineItems!D:E,2,FALSE)</f>
        <v>#N/A</v>
      </c>
      <c r="C221" s="14" t="e">
        <f>F221</f>
        <v>#N/A</v>
      </c>
      <c r="D221" s="13" t="e">
        <f>VLOOKUP(A221,data!A:D,4,FALSE)</f>
        <v>#N/A</v>
      </c>
      <c r="E221" s="13" t="e">
        <f>VLOOKUP(A221,data!A:E,5,FALSE)</f>
        <v>#N/A</v>
      </c>
      <c r="F221" s="15" t="e">
        <f>VLOOKUP(A221,LineItems!D:I,6,FALSE) / VLOOKUP(A221,LineItems!D:I,5,FALSE)</f>
        <v>#N/A</v>
      </c>
      <c r="G221" s="16" t="e">
        <f xml:space="preserve"> IF((VLOOKUP(A221,data!A:C,3,FALSE)-F221)=0,"No Change","Price Changed")</f>
        <v>#N/A</v>
      </c>
    </row>
    <row r="222" spans="2:7" x14ac:dyDescent="0.2">
      <c r="B222" s="13" t="e">
        <f>VLOOKUP(A222,LineItems!D:E,2,FALSE)</f>
        <v>#N/A</v>
      </c>
      <c r="C222" s="14" t="e">
        <f>F222</f>
        <v>#N/A</v>
      </c>
      <c r="D222" s="13" t="e">
        <f>VLOOKUP(A222,data!A:D,4,FALSE)</f>
        <v>#N/A</v>
      </c>
      <c r="E222" s="13" t="e">
        <f>VLOOKUP(A222,data!A:E,5,FALSE)</f>
        <v>#N/A</v>
      </c>
      <c r="F222" s="15" t="e">
        <f>VLOOKUP(A222,LineItems!D:I,6,FALSE) / VLOOKUP(A222,LineItems!D:I,5,FALSE)</f>
        <v>#N/A</v>
      </c>
      <c r="G222" s="16" t="e">
        <f xml:space="preserve"> IF((VLOOKUP(A222,data!A:C,3,FALSE)-F222)=0,"No Change","Price Changed")</f>
        <v>#N/A</v>
      </c>
    </row>
    <row r="223" spans="2:7" x14ac:dyDescent="0.2">
      <c r="B223" s="13" t="e">
        <f>VLOOKUP(A223,LineItems!D:E,2,FALSE)</f>
        <v>#N/A</v>
      </c>
      <c r="C223" s="14" t="e">
        <f>F223</f>
        <v>#N/A</v>
      </c>
      <c r="D223" s="13" t="e">
        <f>VLOOKUP(A223,data!A:D,4,FALSE)</f>
        <v>#N/A</v>
      </c>
      <c r="E223" s="13" t="e">
        <f>VLOOKUP(A223,data!A:E,5,FALSE)</f>
        <v>#N/A</v>
      </c>
      <c r="F223" s="15" t="e">
        <f>VLOOKUP(A223,LineItems!D:I,6,FALSE) / VLOOKUP(A223,LineItems!D:I,5,FALSE)</f>
        <v>#N/A</v>
      </c>
      <c r="G223" s="16" t="e">
        <f xml:space="preserve"> IF((VLOOKUP(A223,data!A:C,3,FALSE)-F223)=0,"No Change","Price Changed")</f>
        <v>#N/A</v>
      </c>
    </row>
    <row r="224" spans="2:7" x14ac:dyDescent="0.2">
      <c r="B224" s="13" t="e">
        <f>VLOOKUP(A224,LineItems!D:E,2,FALSE)</f>
        <v>#N/A</v>
      </c>
      <c r="C224" s="14" t="e">
        <f>F224</f>
        <v>#N/A</v>
      </c>
      <c r="D224" s="13" t="e">
        <f>VLOOKUP(A224,data!A:D,4,FALSE)</f>
        <v>#N/A</v>
      </c>
      <c r="E224" s="13" t="e">
        <f>VLOOKUP(A224,data!A:E,5,FALSE)</f>
        <v>#N/A</v>
      </c>
      <c r="F224" s="15" t="e">
        <f>VLOOKUP(A224,LineItems!D:I,6,FALSE) / VLOOKUP(A224,LineItems!D:I,5,FALSE)</f>
        <v>#N/A</v>
      </c>
      <c r="G224" s="16" t="e">
        <f xml:space="preserve"> IF((VLOOKUP(A224,data!A:C,3,FALSE)-F224)=0,"No Change","Price Changed")</f>
        <v>#N/A</v>
      </c>
    </row>
    <row r="225" spans="2:7" x14ac:dyDescent="0.2">
      <c r="B225" s="13" t="e">
        <f>VLOOKUP(A225,LineItems!D:E,2,FALSE)</f>
        <v>#N/A</v>
      </c>
      <c r="C225" s="14" t="e">
        <f>F225</f>
        <v>#N/A</v>
      </c>
      <c r="D225" s="13" t="e">
        <f>VLOOKUP(A225,data!A:D,4,FALSE)</f>
        <v>#N/A</v>
      </c>
      <c r="E225" s="13" t="e">
        <f>VLOOKUP(A225,data!A:E,5,FALSE)</f>
        <v>#N/A</v>
      </c>
      <c r="F225" s="15" t="e">
        <f>VLOOKUP(A225,LineItems!D:I,6,FALSE) / VLOOKUP(A225,LineItems!D:I,5,FALSE)</f>
        <v>#N/A</v>
      </c>
      <c r="G225" s="16" t="e">
        <f xml:space="preserve"> IF((VLOOKUP(A225,data!A:C,3,FALSE)-F225)=0,"No Change","Price Changed")</f>
        <v>#N/A</v>
      </c>
    </row>
    <row r="226" spans="2:7" x14ac:dyDescent="0.2">
      <c r="B226" s="13" t="e">
        <f>VLOOKUP(A226,LineItems!D:E,2,FALSE)</f>
        <v>#N/A</v>
      </c>
      <c r="C226" s="14" t="e">
        <f>F226</f>
        <v>#N/A</v>
      </c>
      <c r="D226" s="13" t="e">
        <f>VLOOKUP(A226,data!A:D,4,FALSE)</f>
        <v>#N/A</v>
      </c>
      <c r="E226" s="13" t="e">
        <f>VLOOKUP(A226,data!A:E,5,FALSE)</f>
        <v>#N/A</v>
      </c>
      <c r="F226" s="15" t="e">
        <f>VLOOKUP(A226,LineItems!D:I,6,FALSE) / VLOOKUP(A226,LineItems!D:I,5,FALSE)</f>
        <v>#N/A</v>
      </c>
      <c r="G226" s="16" t="e">
        <f xml:space="preserve"> IF((VLOOKUP(A226,data!A:C,3,FALSE)-F226)=0,"No Change","Price Changed")</f>
        <v>#N/A</v>
      </c>
    </row>
    <row r="227" spans="2:7" x14ac:dyDescent="0.2">
      <c r="B227" s="13" t="e">
        <f>VLOOKUP(A227,LineItems!D:E,2,FALSE)</f>
        <v>#N/A</v>
      </c>
      <c r="C227" s="14" t="e">
        <f>F227</f>
        <v>#N/A</v>
      </c>
      <c r="D227" s="13" t="e">
        <f>VLOOKUP(A227,data!A:D,4,FALSE)</f>
        <v>#N/A</v>
      </c>
      <c r="E227" s="13" t="e">
        <f>VLOOKUP(A227,data!A:E,5,FALSE)</f>
        <v>#N/A</v>
      </c>
      <c r="F227" s="15" t="e">
        <f>VLOOKUP(A227,LineItems!D:I,6,FALSE) / VLOOKUP(A227,LineItems!D:I,5,FALSE)</f>
        <v>#N/A</v>
      </c>
      <c r="G227" s="16" t="e">
        <f xml:space="preserve"> IF((VLOOKUP(A227,data!A:C,3,FALSE)-F227)=0,"No Change","Price Changed")</f>
        <v>#N/A</v>
      </c>
    </row>
    <row r="228" spans="2:7" x14ac:dyDescent="0.2">
      <c r="B228" s="13" t="e">
        <f>VLOOKUP(A228,LineItems!D:E,2,FALSE)</f>
        <v>#N/A</v>
      </c>
      <c r="C228" s="14" t="e">
        <f>F228</f>
        <v>#N/A</v>
      </c>
      <c r="D228" s="13" t="e">
        <f>VLOOKUP(A228,data!A:D,4,FALSE)</f>
        <v>#N/A</v>
      </c>
      <c r="E228" s="13" t="e">
        <f>VLOOKUP(A228,data!A:E,5,FALSE)</f>
        <v>#N/A</v>
      </c>
      <c r="F228" s="15" t="e">
        <f>VLOOKUP(A228,LineItems!D:I,6,FALSE) / VLOOKUP(A228,LineItems!D:I,5,FALSE)</f>
        <v>#N/A</v>
      </c>
      <c r="G228" s="16" t="e">
        <f xml:space="preserve"> IF((VLOOKUP(A228,data!A:C,3,FALSE)-F228)=0,"No Change","Price Changed")</f>
        <v>#N/A</v>
      </c>
    </row>
    <row r="229" spans="2:7" x14ac:dyDescent="0.2">
      <c r="B229" s="13" t="e">
        <f>VLOOKUP(A229,LineItems!D:E,2,FALSE)</f>
        <v>#N/A</v>
      </c>
      <c r="C229" s="14" t="e">
        <f>F229</f>
        <v>#N/A</v>
      </c>
      <c r="D229" s="13" t="e">
        <f>VLOOKUP(A229,data!A:D,4,FALSE)</f>
        <v>#N/A</v>
      </c>
      <c r="E229" s="13" t="e">
        <f>VLOOKUP(A229,data!A:E,5,FALSE)</f>
        <v>#N/A</v>
      </c>
      <c r="F229" s="15" t="e">
        <f>VLOOKUP(A229,LineItems!D:I,6,FALSE) / VLOOKUP(A229,LineItems!D:I,5,FALSE)</f>
        <v>#N/A</v>
      </c>
      <c r="G229" s="16" t="e">
        <f xml:space="preserve"> IF((VLOOKUP(A229,data!A:C,3,FALSE)-F229)=0,"No Change","Price Changed")</f>
        <v>#N/A</v>
      </c>
    </row>
    <row r="230" spans="2:7" x14ac:dyDescent="0.2">
      <c r="B230" s="13" t="e">
        <f>VLOOKUP(A230,LineItems!D:E,2,FALSE)</f>
        <v>#N/A</v>
      </c>
      <c r="C230" s="14" t="e">
        <f>F230</f>
        <v>#N/A</v>
      </c>
      <c r="D230" s="13" t="e">
        <f>VLOOKUP(A230,data!A:D,4,FALSE)</f>
        <v>#N/A</v>
      </c>
      <c r="E230" s="13" t="e">
        <f>VLOOKUP(A230,data!A:E,5,FALSE)</f>
        <v>#N/A</v>
      </c>
      <c r="F230" s="15" t="e">
        <f>VLOOKUP(A230,LineItems!D:I,6,FALSE) / VLOOKUP(A230,LineItems!D:I,5,FALSE)</f>
        <v>#N/A</v>
      </c>
      <c r="G230" s="16" t="e">
        <f xml:space="preserve"> IF((VLOOKUP(A230,data!A:C,3,FALSE)-F230)=0,"No Change","Price Changed")</f>
        <v>#N/A</v>
      </c>
    </row>
    <row r="231" spans="2:7" x14ac:dyDescent="0.2">
      <c r="B231" s="13" t="e">
        <f>VLOOKUP(A231,LineItems!D:E,2,FALSE)</f>
        <v>#N/A</v>
      </c>
      <c r="C231" s="14" t="e">
        <f>F231</f>
        <v>#N/A</v>
      </c>
      <c r="D231" s="13" t="e">
        <f>VLOOKUP(A231,data!A:D,4,FALSE)</f>
        <v>#N/A</v>
      </c>
      <c r="E231" s="13" t="e">
        <f>VLOOKUP(A231,data!A:E,5,FALSE)</f>
        <v>#N/A</v>
      </c>
      <c r="F231" s="15" t="e">
        <f>VLOOKUP(A231,LineItems!D:I,6,FALSE) / VLOOKUP(A231,LineItems!D:I,5,FALSE)</f>
        <v>#N/A</v>
      </c>
      <c r="G231" s="16" t="e">
        <f xml:space="preserve"> IF((VLOOKUP(A231,data!A:C,3,FALSE)-F231)=0,"No Change","Price Changed")</f>
        <v>#N/A</v>
      </c>
    </row>
    <row r="232" spans="2:7" x14ac:dyDescent="0.2">
      <c r="B232" s="13" t="e">
        <f>VLOOKUP(A232,LineItems!D:E,2,FALSE)</f>
        <v>#N/A</v>
      </c>
      <c r="C232" s="14" t="e">
        <f>F232</f>
        <v>#N/A</v>
      </c>
      <c r="D232" s="13" t="e">
        <f>VLOOKUP(A232,data!A:D,4,FALSE)</f>
        <v>#N/A</v>
      </c>
      <c r="E232" s="13" t="e">
        <f>VLOOKUP(A232,data!A:E,5,FALSE)</f>
        <v>#N/A</v>
      </c>
      <c r="F232" s="15" t="e">
        <f>VLOOKUP(A232,LineItems!D:I,6,FALSE) / VLOOKUP(A232,LineItems!D:I,5,FALSE)</f>
        <v>#N/A</v>
      </c>
      <c r="G232" s="16" t="e">
        <f xml:space="preserve"> IF((VLOOKUP(A232,data!A:C,3,FALSE)-F232)=0,"No Change","Price Changed")</f>
        <v>#N/A</v>
      </c>
    </row>
    <row r="233" spans="2:7" x14ac:dyDescent="0.2">
      <c r="B233" s="13" t="e">
        <f>VLOOKUP(A233,LineItems!D:E,2,FALSE)</f>
        <v>#N/A</v>
      </c>
      <c r="C233" s="14" t="e">
        <f>F233</f>
        <v>#N/A</v>
      </c>
      <c r="D233" s="13" t="e">
        <f>VLOOKUP(A233,data!A:D,4,FALSE)</f>
        <v>#N/A</v>
      </c>
      <c r="E233" s="13" t="e">
        <f>VLOOKUP(A233,data!A:E,5,FALSE)</f>
        <v>#N/A</v>
      </c>
      <c r="F233" s="15" t="e">
        <f>VLOOKUP(A233,LineItems!D:I,6,FALSE) / VLOOKUP(A233,LineItems!D:I,5,FALSE)</f>
        <v>#N/A</v>
      </c>
      <c r="G233" s="16" t="e">
        <f xml:space="preserve"> IF((VLOOKUP(A233,data!A:C,3,FALSE)-F233)=0,"No Change","Price Changed")</f>
        <v>#N/A</v>
      </c>
    </row>
    <row r="234" spans="2:7" x14ac:dyDescent="0.2">
      <c r="B234" s="13" t="e">
        <f>VLOOKUP(A234,LineItems!D:E,2,FALSE)</f>
        <v>#N/A</v>
      </c>
      <c r="C234" s="14" t="e">
        <f>F234</f>
        <v>#N/A</v>
      </c>
      <c r="D234" s="13" t="e">
        <f>VLOOKUP(A234,data!A:D,4,FALSE)</f>
        <v>#N/A</v>
      </c>
      <c r="E234" s="13" t="e">
        <f>VLOOKUP(A234,data!A:E,5,FALSE)</f>
        <v>#N/A</v>
      </c>
      <c r="F234" s="15" t="e">
        <f>VLOOKUP(A234,LineItems!D:I,6,FALSE) / VLOOKUP(A234,LineItems!D:I,5,FALSE)</f>
        <v>#N/A</v>
      </c>
      <c r="G234" s="16" t="e">
        <f xml:space="preserve"> IF((VLOOKUP(A234,data!A:C,3,FALSE)-F234)=0,"No Change","Price Changed")</f>
        <v>#N/A</v>
      </c>
    </row>
    <row r="235" spans="2:7" x14ac:dyDescent="0.2">
      <c r="B235" s="13" t="e">
        <f>VLOOKUP(A235,LineItems!D:E,2,FALSE)</f>
        <v>#N/A</v>
      </c>
      <c r="C235" s="14" t="e">
        <f>F235</f>
        <v>#N/A</v>
      </c>
      <c r="D235" s="13" t="e">
        <f>VLOOKUP(A235,data!A:D,4,FALSE)</f>
        <v>#N/A</v>
      </c>
      <c r="E235" s="13" t="e">
        <f>VLOOKUP(A235,data!A:E,5,FALSE)</f>
        <v>#N/A</v>
      </c>
      <c r="F235" s="15" t="e">
        <f>VLOOKUP(A235,LineItems!D:I,6,FALSE) / VLOOKUP(A235,LineItems!D:I,5,FALSE)</f>
        <v>#N/A</v>
      </c>
      <c r="G235" s="16" t="e">
        <f xml:space="preserve"> IF((VLOOKUP(A235,data!A:C,3,FALSE)-F235)=0,"No Change","Price Changed")</f>
        <v>#N/A</v>
      </c>
    </row>
    <row r="236" spans="2:7" x14ac:dyDescent="0.2">
      <c r="B236" s="13" t="e">
        <f>VLOOKUP(A236,LineItems!D:E,2,FALSE)</f>
        <v>#N/A</v>
      </c>
      <c r="C236" s="14" t="e">
        <f>F236</f>
        <v>#N/A</v>
      </c>
      <c r="D236" s="13" t="e">
        <f>VLOOKUP(A236,data!A:D,4,FALSE)</f>
        <v>#N/A</v>
      </c>
      <c r="E236" s="13" t="e">
        <f>VLOOKUP(A236,data!A:E,5,FALSE)</f>
        <v>#N/A</v>
      </c>
      <c r="F236" s="15" t="e">
        <f>VLOOKUP(A236,LineItems!D:I,6,FALSE) / VLOOKUP(A236,LineItems!D:I,5,FALSE)</f>
        <v>#N/A</v>
      </c>
      <c r="G236" s="16" t="e">
        <f xml:space="preserve"> IF((VLOOKUP(A236,data!A:C,3,FALSE)-F236)=0,"No Change","Price Changed")</f>
        <v>#N/A</v>
      </c>
    </row>
    <row r="237" spans="2:7" x14ac:dyDescent="0.2">
      <c r="B237" s="13" t="e">
        <f>VLOOKUP(A237,LineItems!D:E,2,FALSE)</f>
        <v>#N/A</v>
      </c>
      <c r="C237" s="14" t="e">
        <f>F237</f>
        <v>#N/A</v>
      </c>
      <c r="D237" s="13" t="e">
        <f>VLOOKUP(A237,data!A:D,4,FALSE)</f>
        <v>#N/A</v>
      </c>
      <c r="E237" s="13" t="e">
        <f>VLOOKUP(A237,data!A:E,5,FALSE)</f>
        <v>#N/A</v>
      </c>
      <c r="F237" s="15" t="e">
        <f>VLOOKUP(A237,LineItems!D:I,6,FALSE) / VLOOKUP(A237,LineItems!D:I,5,FALSE)</f>
        <v>#N/A</v>
      </c>
      <c r="G237" s="16" t="e">
        <f xml:space="preserve"> IF((VLOOKUP(A237,data!A:C,3,FALSE)-F237)=0,"No Change","Price Changed")</f>
        <v>#N/A</v>
      </c>
    </row>
    <row r="238" spans="2:7" x14ac:dyDescent="0.2">
      <c r="B238" s="13" t="e">
        <f>VLOOKUP(A238,LineItems!D:E,2,FALSE)</f>
        <v>#N/A</v>
      </c>
      <c r="C238" s="14" t="e">
        <f>F238</f>
        <v>#N/A</v>
      </c>
      <c r="D238" s="13" t="e">
        <f>VLOOKUP(A238,data!A:D,4,FALSE)</f>
        <v>#N/A</v>
      </c>
      <c r="E238" s="13" t="e">
        <f>VLOOKUP(A238,data!A:E,5,FALSE)</f>
        <v>#N/A</v>
      </c>
      <c r="F238" s="15" t="e">
        <f>VLOOKUP(A238,LineItems!D:I,6,FALSE) / VLOOKUP(A238,LineItems!D:I,5,FALSE)</f>
        <v>#N/A</v>
      </c>
      <c r="G238" s="16" t="e">
        <f xml:space="preserve"> IF((VLOOKUP(A238,data!A:C,3,FALSE)-F238)=0,"No Change","Price Changed")</f>
        <v>#N/A</v>
      </c>
    </row>
    <row r="239" spans="2:7" x14ac:dyDescent="0.2">
      <c r="B239" s="13" t="e">
        <f>VLOOKUP(A239,LineItems!D:E,2,FALSE)</f>
        <v>#N/A</v>
      </c>
      <c r="C239" s="14" t="e">
        <f>F239</f>
        <v>#N/A</v>
      </c>
      <c r="D239" s="13" t="e">
        <f>VLOOKUP(A239,data!A:D,4,FALSE)</f>
        <v>#N/A</v>
      </c>
      <c r="E239" s="13" t="e">
        <f>VLOOKUP(A239,data!A:E,5,FALSE)</f>
        <v>#N/A</v>
      </c>
      <c r="F239" s="15" t="e">
        <f>VLOOKUP(A239,LineItems!D:I,6,FALSE) / VLOOKUP(A239,LineItems!D:I,5,FALSE)</f>
        <v>#N/A</v>
      </c>
      <c r="G239" s="16" t="e">
        <f xml:space="preserve"> IF((VLOOKUP(A239,data!A:C,3,FALSE)-F239)=0,"No Change","Price Changed")</f>
        <v>#N/A</v>
      </c>
    </row>
    <row r="240" spans="2:7" x14ac:dyDescent="0.2">
      <c r="B240" s="13" t="e">
        <f>VLOOKUP(A240,LineItems!D:E,2,FALSE)</f>
        <v>#N/A</v>
      </c>
      <c r="C240" s="14" t="e">
        <f>F240</f>
        <v>#N/A</v>
      </c>
      <c r="D240" s="13" t="e">
        <f>VLOOKUP(A240,data!A:D,4,FALSE)</f>
        <v>#N/A</v>
      </c>
      <c r="E240" s="13" t="e">
        <f>VLOOKUP(A240,data!A:E,5,FALSE)</f>
        <v>#N/A</v>
      </c>
      <c r="F240" s="15" t="e">
        <f>VLOOKUP(A240,LineItems!D:I,6,FALSE) / VLOOKUP(A240,LineItems!D:I,5,FALSE)</f>
        <v>#N/A</v>
      </c>
      <c r="G240" s="16" t="e">
        <f xml:space="preserve"> IF((VLOOKUP(A240,data!A:C,3,FALSE)-F240)=0,"No Change","Price Changed")</f>
        <v>#N/A</v>
      </c>
    </row>
    <row r="241" spans="2:7" x14ac:dyDescent="0.2">
      <c r="B241" s="13" t="e">
        <f>VLOOKUP(A241,LineItems!D:E,2,FALSE)</f>
        <v>#N/A</v>
      </c>
      <c r="C241" s="14" t="e">
        <f>F241</f>
        <v>#N/A</v>
      </c>
      <c r="D241" s="13" t="e">
        <f>VLOOKUP(A241,data!A:D,4,FALSE)</f>
        <v>#N/A</v>
      </c>
      <c r="E241" s="13" t="e">
        <f>VLOOKUP(A241,data!A:E,5,FALSE)</f>
        <v>#N/A</v>
      </c>
      <c r="F241" s="15" t="e">
        <f>VLOOKUP(A241,LineItems!D:I,6,FALSE) / VLOOKUP(A241,LineItems!D:I,5,FALSE)</f>
        <v>#N/A</v>
      </c>
      <c r="G241" s="16" t="e">
        <f xml:space="preserve"> IF((VLOOKUP(A241,data!A:C,3,FALSE)-F241)=0,"No Change","Price Changed")</f>
        <v>#N/A</v>
      </c>
    </row>
    <row r="242" spans="2:7" x14ac:dyDescent="0.2">
      <c r="B242" s="13" t="e">
        <f>VLOOKUP(A242,LineItems!D:E,2,FALSE)</f>
        <v>#N/A</v>
      </c>
      <c r="C242" s="14" t="e">
        <f>F242</f>
        <v>#N/A</v>
      </c>
      <c r="D242" s="13" t="e">
        <f>VLOOKUP(A242,data!A:D,4,FALSE)</f>
        <v>#N/A</v>
      </c>
      <c r="E242" s="13" t="e">
        <f>VLOOKUP(A242,data!A:E,5,FALSE)</f>
        <v>#N/A</v>
      </c>
      <c r="F242" s="15" t="e">
        <f>VLOOKUP(A242,LineItems!D:I,6,FALSE) / VLOOKUP(A242,LineItems!D:I,5,FALSE)</f>
        <v>#N/A</v>
      </c>
      <c r="G242" s="16" t="e">
        <f xml:space="preserve"> IF((VLOOKUP(A242,data!A:C,3,FALSE)-F242)=0,"No Change","Price Changed")</f>
        <v>#N/A</v>
      </c>
    </row>
    <row r="243" spans="2:7" x14ac:dyDescent="0.2">
      <c r="B243" s="13" t="e">
        <f>VLOOKUP(A243,LineItems!D:E,2,FALSE)</f>
        <v>#N/A</v>
      </c>
      <c r="C243" s="14" t="e">
        <f>F243</f>
        <v>#N/A</v>
      </c>
      <c r="D243" s="13" t="e">
        <f>VLOOKUP(A243,data!A:D,4,FALSE)</f>
        <v>#N/A</v>
      </c>
      <c r="E243" s="13" t="e">
        <f>VLOOKUP(A243,data!A:E,5,FALSE)</f>
        <v>#N/A</v>
      </c>
      <c r="F243" s="15" t="e">
        <f>VLOOKUP(A243,LineItems!D:I,6,FALSE) / VLOOKUP(A243,LineItems!D:I,5,FALSE)</f>
        <v>#N/A</v>
      </c>
      <c r="G243" s="16" t="e">
        <f xml:space="preserve"> IF((VLOOKUP(A243,data!A:C,3,FALSE)-F243)=0,"No Change","Price Changed")</f>
        <v>#N/A</v>
      </c>
    </row>
    <row r="244" spans="2:7" x14ac:dyDescent="0.2">
      <c r="B244" s="13" t="e">
        <f>VLOOKUP(A244,LineItems!D:E,2,FALSE)</f>
        <v>#N/A</v>
      </c>
      <c r="C244" s="14" t="e">
        <f>F244</f>
        <v>#N/A</v>
      </c>
      <c r="D244" s="13" t="e">
        <f>VLOOKUP(A244,data!A:D,4,FALSE)</f>
        <v>#N/A</v>
      </c>
      <c r="E244" s="13" t="e">
        <f>VLOOKUP(A244,data!A:E,5,FALSE)</f>
        <v>#N/A</v>
      </c>
      <c r="F244" s="15" t="e">
        <f>VLOOKUP(A244,LineItems!D:I,6,FALSE) / VLOOKUP(A244,LineItems!D:I,5,FALSE)</f>
        <v>#N/A</v>
      </c>
      <c r="G244" s="16" t="e">
        <f xml:space="preserve"> IF((VLOOKUP(A244,data!A:C,3,FALSE)-F244)=0,"No Change","Price Changed")</f>
        <v>#N/A</v>
      </c>
    </row>
    <row r="245" spans="2:7" x14ac:dyDescent="0.2">
      <c r="B245" s="13" t="e">
        <f>VLOOKUP(A245,LineItems!D:E,2,FALSE)</f>
        <v>#N/A</v>
      </c>
      <c r="C245" s="14" t="e">
        <f>F245</f>
        <v>#N/A</v>
      </c>
      <c r="D245" s="13" t="e">
        <f>VLOOKUP(A245,data!A:D,4,FALSE)</f>
        <v>#N/A</v>
      </c>
      <c r="E245" s="13" t="e">
        <f>VLOOKUP(A245,data!A:E,5,FALSE)</f>
        <v>#N/A</v>
      </c>
      <c r="F245" s="15" t="e">
        <f>VLOOKUP(A245,LineItems!D:I,6,FALSE) / VLOOKUP(A245,LineItems!D:I,5,FALSE)</f>
        <v>#N/A</v>
      </c>
      <c r="G245" s="16" t="e">
        <f xml:space="preserve"> IF((VLOOKUP(A245,data!A:C,3,FALSE)-F245)=0,"No Change","Price Changed")</f>
        <v>#N/A</v>
      </c>
    </row>
    <row r="246" spans="2:7" x14ac:dyDescent="0.2">
      <c r="B246" s="13" t="e">
        <f>VLOOKUP(A246,LineItems!D:E,2,FALSE)</f>
        <v>#N/A</v>
      </c>
      <c r="C246" s="14" t="e">
        <f>F246</f>
        <v>#N/A</v>
      </c>
      <c r="D246" s="13" t="e">
        <f>VLOOKUP(A246,data!A:D,4,FALSE)</f>
        <v>#N/A</v>
      </c>
      <c r="E246" s="13" t="e">
        <f>VLOOKUP(A246,data!A:E,5,FALSE)</f>
        <v>#N/A</v>
      </c>
      <c r="F246" s="15" t="e">
        <f>VLOOKUP(A246,LineItems!D:I,6,FALSE) / VLOOKUP(A246,LineItems!D:I,5,FALSE)</f>
        <v>#N/A</v>
      </c>
      <c r="G246" s="16" t="e">
        <f xml:space="preserve"> IF((VLOOKUP(A246,data!A:C,3,FALSE)-F246)=0,"No Change","Price Changed")</f>
        <v>#N/A</v>
      </c>
    </row>
    <row r="247" spans="2:7" x14ac:dyDescent="0.2">
      <c r="B247" s="13" t="e">
        <f>VLOOKUP(A247,LineItems!D:E,2,FALSE)</f>
        <v>#N/A</v>
      </c>
      <c r="C247" s="14" t="e">
        <f>F247</f>
        <v>#N/A</v>
      </c>
      <c r="D247" s="13" t="e">
        <f>VLOOKUP(A247,data!A:D,4,FALSE)</f>
        <v>#N/A</v>
      </c>
      <c r="E247" s="13" t="e">
        <f>VLOOKUP(A247,data!A:E,5,FALSE)</f>
        <v>#N/A</v>
      </c>
      <c r="F247" s="15" t="e">
        <f>VLOOKUP(A247,LineItems!D:I,6,FALSE) / VLOOKUP(A247,LineItems!D:I,5,FALSE)</f>
        <v>#N/A</v>
      </c>
      <c r="G247" s="16" t="e">
        <f xml:space="preserve"> IF((VLOOKUP(A247,data!A:C,3,FALSE)-F247)=0,"No Change","Price Changed")</f>
        <v>#N/A</v>
      </c>
    </row>
    <row r="248" spans="2:7" x14ac:dyDescent="0.2">
      <c r="B248" s="13" t="e">
        <f>VLOOKUP(A248,LineItems!D:E,2,FALSE)</f>
        <v>#N/A</v>
      </c>
      <c r="C248" s="14" t="e">
        <f>F248</f>
        <v>#N/A</v>
      </c>
      <c r="D248" s="13" t="e">
        <f>VLOOKUP(A248,data!A:D,4,FALSE)</f>
        <v>#N/A</v>
      </c>
      <c r="E248" s="13" t="e">
        <f>VLOOKUP(A248,data!A:E,5,FALSE)</f>
        <v>#N/A</v>
      </c>
      <c r="F248" s="15" t="e">
        <f>VLOOKUP(A248,LineItems!D:I,6,FALSE) / VLOOKUP(A248,LineItems!D:I,5,FALSE)</f>
        <v>#N/A</v>
      </c>
      <c r="G248" s="16" t="e">
        <f xml:space="preserve"> IF((VLOOKUP(A248,data!A:C,3,FALSE)-F248)=0,"No Change","Price Changed")</f>
        <v>#N/A</v>
      </c>
    </row>
    <row r="249" spans="2:7" x14ac:dyDescent="0.2">
      <c r="B249" s="13" t="e">
        <f>VLOOKUP(A249,LineItems!D:E,2,FALSE)</f>
        <v>#N/A</v>
      </c>
      <c r="C249" s="14" t="e">
        <f>F249</f>
        <v>#N/A</v>
      </c>
      <c r="D249" s="13" t="e">
        <f>VLOOKUP(A249,data!A:D,4,FALSE)</f>
        <v>#N/A</v>
      </c>
      <c r="E249" s="13" t="e">
        <f>VLOOKUP(A249,data!A:E,5,FALSE)</f>
        <v>#N/A</v>
      </c>
      <c r="F249" s="15" t="e">
        <f>VLOOKUP(A249,LineItems!D:I,6,FALSE) / VLOOKUP(A249,LineItems!D:I,5,FALSE)</f>
        <v>#N/A</v>
      </c>
      <c r="G249" s="16" t="e">
        <f xml:space="preserve"> IF((VLOOKUP(A249,data!A:C,3,FALSE)-F249)=0,"No Change","Price Changed")</f>
        <v>#N/A</v>
      </c>
    </row>
    <row r="250" spans="2:7" x14ac:dyDescent="0.2">
      <c r="B250" s="13" t="e">
        <f>VLOOKUP(A250,LineItems!D:E,2,FALSE)</f>
        <v>#N/A</v>
      </c>
      <c r="C250" s="14" t="e">
        <f>F250</f>
        <v>#N/A</v>
      </c>
      <c r="D250" s="13" t="e">
        <f>VLOOKUP(A250,data!A:D,4,FALSE)</f>
        <v>#N/A</v>
      </c>
      <c r="E250" s="13" t="e">
        <f>VLOOKUP(A250,data!A:E,5,FALSE)</f>
        <v>#N/A</v>
      </c>
      <c r="F250" s="15" t="e">
        <f>VLOOKUP(A250,LineItems!D:I,6,FALSE) / VLOOKUP(A250,LineItems!D:I,5,FALSE)</f>
        <v>#N/A</v>
      </c>
      <c r="G250" s="16" t="e">
        <f xml:space="preserve"> IF((VLOOKUP(A250,data!A:C,3,FALSE)-F250)=0,"No Change","Price Changed")</f>
        <v>#N/A</v>
      </c>
    </row>
    <row r="251" spans="2:7" x14ac:dyDescent="0.2">
      <c r="B251" s="13" t="e">
        <f>VLOOKUP(A251,LineItems!D:E,2,FALSE)</f>
        <v>#N/A</v>
      </c>
      <c r="C251" s="14" t="e">
        <f>F251</f>
        <v>#N/A</v>
      </c>
      <c r="D251" s="13" t="e">
        <f>VLOOKUP(A251,data!A:D,4,FALSE)</f>
        <v>#N/A</v>
      </c>
      <c r="E251" s="13" t="e">
        <f>VLOOKUP(A251,data!A:E,5,FALSE)</f>
        <v>#N/A</v>
      </c>
      <c r="F251" s="15" t="e">
        <f>VLOOKUP(A251,LineItems!D:I,6,FALSE) / VLOOKUP(A251,LineItems!D:I,5,FALSE)</f>
        <v>#N/A</v>
      </c>
      <c r="G251" s="16" t="e">
        <f xml:space="preserve"> IF((VLOOKUP(A251,data!A:C,3,FALSE)-F251)=0,"No Change","Price Changed")</f>
        <v>#N/A</v>
      </c>
    </row>
    <row r="252" spans="2:7" x14ac:dyDescent="0.2">
      <c r="B252" s="13" t="e">
        <f>VLOOKUP(A252,LineItems!D:E,2,FALSE)</f>
        <v>#N/A</v>
      </c>
      <c r="C252" s="14" t="e">
        <f>F252</f>
        <v>#N/A</v>
      </c>
      <c r="D252" s="13" t="e">
        <f>VLOOKUP(A252,data!A:D,4,FALSE)</f>
        <v>#N/A</v>
      </c>
      <c r="E252" s="13" t="e">
        <f>VLOOKUP(A252,data!A:E,5,FALSE)</f>
        <v>#N/A</v>
      </c>
      <c r="F252" s="15" t="e">
        <f>VLOOKUP(A252,LineItems!D:I,6,FALSE) / VLOOKUP(A252,LineItems!D:I,5,FALSE)</f>
        <v>#N/A</v>
      </c>
      <c r="G252" s="16" t="e">
        <f xml:space="preserve"> IF((VLOOKUP(A252,data!A:C,3,FALSE)-F252)=0,"No Change","Price Changed")</f>
        <v>#N/A</v>
      </c>
    </row>
    <row r="253" spans="2:7" x14ac:dyDescent="0.2">
      <c r="B253" s="13" t="e">
        <f>VLOOKUP(A253,LineItems!D:E,2,FALSE)</f>
        <v>#N/A</v>
      </c>
      <c r="C253" s="14" t="e">
        <f>F253</f>
        <v>#N/A</v>
      </c>
      <c r="D253" s="13" t="e">
        <f>VLOOKUP(A253,data!A:D,4,FALSE)</f>
        <v>#N/A</v>
      </c>
      <c r="E253" s="13" t="e">
        <f>VLOOKUP(A253,data!A:E,5,FALSE)</f>
        <v>#N/A</v>
      </c>
      <c r="F253" s="15" t="e">
        <f>VLOOKUP(A253,LineItems!D:I,6,FALSE) / VLOOKUP(A253,LineItems!D:I,5,FALSE)</f>
        <v>#N/A</v>
      </c>
      <c r="G253" s="16" t="e">
        <f xml:space="preserve"> IF((VLOOKUP(A253,data!A:C,3,FALSE)-F253)=0,"No Change","Price Changed")</f>
        <v>#N/A</v>
      </c>
    </row>
    <row r="254" spans="2:7" x14ac:dyDescent="0.2">
      <c r="B254" s="13" t="e">
        <f>VLOOKUP(A254,LineItems!D:E,2,FALSE)</f>
        <v>#N/A</v>
      </c>
      <c r="C254" s="14" t="e">
        <f>F254</f>
        <v>#N/A</v>
      </c>
      <c r="D254" s="13" t="e">
        <f>VLOOKUP(A254,data!A:D,4,FALSE)</f>
        <v>#N/A</v>
      </c>
      <c r="E254" s="13" t="e">
        <f>VLOOKUP(A254,data!A:E,5,FALSE)</f>
        <v>#N/A</v>
      </c>
      <c r="F254" s="15" t="e">
        <f>VLOOKUP(A254,LineItems!D:I,6,FALSE) / VLOOKUP(A254,LineItems!D:I,5,FALSE)</f>
        <v>#N/A</v>
      </c>
      <c r="G254" s="16" t="e">
        <f xml:space="preserve"> IF((VLOOKUP(A254,data!A:C,3,FALSE)-F254)=0,"No Change","Price Changed")</f>
        <v>#N/A</v>
      </c>
    </row>
    <row r="255" spans="2:7" x14ac:dyDescent="0.2">
      <c r="B255" s="13" t="e">
        <f>VLOOKUP(A255,LineItems!D:E,2,FALSE)</f>
        <v>#N/A</v>
      </c>
      <c r="C255" s="14" t="e">
        <f>F255</f>
        <v>#N/A</v>
      </c>
      <c r="D255" s="13" t="e">
        <f>VLOOKUP(A255,data!A:D,4,FALSE)</f>
        <v>#N/A</v>
      </c>
      <c r="E255" s="13" t="e">
        <f>VLOOKUP(A255,data!A:E,5,FALSE)</f>
        <v>#N/A</v>
      </c>
      <c r="F255" s="15" t="e">
        <f>VLOOKUP(A255,LineItems!D:I,6,FALSE) / VLOOKUP(A255,LineItems!D:I,5,FALSE)</f>
        <v>#N/A</v>
      </c>
      <c r="G255" s="16" t="e">
        <f xml:space="preserve"> IF((VLOOKUP(A255,data!A:C,3,FALSE)-F255)=0,"No Change","Price Changed")</f>
        <v>#N/A</v>
      </c>
    </row>
    <row r="256" spans="2:7" x14ac:dyDescent="0.2">
      <c r="B256" s="13" t="e">
        <f>VLOOKUP(A256,LineItems!D:E,2,FALSE)</f>
        <v>#N/A</v>
      </c>
      <c r="C256" s="14" t="e">
        <f>F256</f>
        <v>#N/A</v>
      </c>
      <c r="D256" s="13" t="e">
        <f>VLOOKUP(A256,data!A:D,4,FALSE)</f>
        <v>#N/A</v>
      </c>
      <c r="E256" s="13" t="e">
        <f>VLOOKUP(A256,data!A:E,5,FALSE)</f>
        <v>#N/A</v>
      </c>
      <c r="F256" s="15" t="e">
        <f>VLOOKUP(A256,LineItems!D:I,6,FALSE) / VLOOKUP(A256,LineItems!D:I,5,FALSE)</f>
        <v>#N/A</v>
      </c>
      <c r="G256" s="16" t="e">
        <f xml:space="preserve"> IF((VLOOKUP(A256,data!A:C,3,FALSE)-F256)=0,"No Change","Price Changed")</f>
        <v>#N/A</v>
      </c>
    </row>
    <row r="257" spans="2:7" x14ac:dyDescent="0.2">
      <c r="B257" s="13" t="e">
        <f>VLOOKUP(A257,LineItems!D:E,2,FALSE)</f>
        <v>#N/A</v>
      </c>
      <c r="C257" s="14" t="e">
        <f>F257</f>
        <v>#N/A</v>
      </c>
      <c r="D257" s="13" t="e">
        <f>VLOOKUP(A257,data!A:D,4,FALSE)</f>
        <v>#N/A</v>
      </c>
      <c r="E257" s="13" t="e">
        <f>VLOOKUP(A257,data!A:E,5,FALSE)</f>
        <v>#N/A</v>
      </c>
      <c r="F257" s="15" t="e">
        <f>VLOOKUP(A257,LineItems!D:I,6,FALSE) / VLOOKUP(A257,LineItems!D:I,5,FALSE)</f>
        <v>#N/A</v>
      </c>
      <c r="G257" s="16" t="e">
        <f xml:space="preserve"> IF((VLOOKUP(A257,data!A:C,3,FALSE)-F257)=0,"No Change","Price Changed")</f>
        <v>#N/A</v>
      </c>
    </row>
    <row r="258" spans="2:7" x14ac:dyDescent="0.2">
      <c r="B258" s="13" t="e">
        <f>VLOOKUP(A258,LineItems!D:E,2,FALSE)</f>
        <v>#N/A</v>
      </c>
      <c r="C258" s="14" t="e">
        <f>F258</f>
        <v>#N/A</v>
      </c>
      <c r="D258" s="13" t="e">
        <f>VLOOKUP(A258,data!A:D,4,FALSE)</f>
        <v>#N/A</v>
      </c>
      <c r="E258" s="13" t="e">
        <f>VLOOKUP(A258,data!A:E,5,FALSE)</f>
        <v>#N/A</v>
      </c>
      <c r="F258" s="15" t="e">
        <f>VLOOKUP(A258,LineItems!D:I,6,FALSE) / VLOOKUP(A258,LineItems!D:I,5,FALSE)</f>
        <v>#N/A</v>
      </c>
      <c r="G258" s="16" t="e">
        <f xml:space="preserve"> IF((VLOOKUP(A258,data!A:C,3,FALSE)-F258)=0,"No Change","Price Changed")</f>
        <v>#N/A</v>
      </c>
    </row>
    <row r="259" spans="2:7" x14ac:dyDescent="0.2">
      <c r="B259" s="13" t="e">
        <f>VLOOKUP(A259,LineItems!D:E,2,FALSE)</f>
        <v>#N/A</v>
      </c>
      <c r="C259" s="14" t="e">
        <f>F259</f>
        <v>#N/A</v>
      </c>
      <c r="D259" s="13" t="e">
        <f>VLOOKUP(A259,data!A:D,4,FALSE)</f>
        <v>#N/A</v>
      </c>
      <c r="E259" s="13" t="e">
        <f>VLOOKUP(A259,data!A:E,5,FALSE)</f>
        <v>#N/A</v>
      </c>
      <c r="F259" s="15" t="e">
        <f>VLOOKUP(A259,LineItems!D:I,6,FALSE) / VLOOKUP(A259,LineItems!D:I,5,FALSE)</f>
        <v>#N/A</v>
      </c>
      <c r="G259" s="16" t="e">
        <f xml:space="preserve"> IF((VLOOKUP(A259,data!A:C,3,FALSE)-F259)=0,"No Change","Price Changed")</f>
        <v>#N/A</v>
      </c>
    </row>
    <row r="260" spans="2:7" x14ac:dyDescent="0.2">
      <c r="B260" s="13" t="e">
        <f>VLOOKUP(A260,LineItems!D:E,2,FALSE)</f>
        <v>#N/A</v>
      </c>
      <c r="C260" s="14" t="e">
        <f>F260</f>
        <v>#N/A</v>
      </c>
      <c r="D260" s="13" t="e">
        <f>VLOOKUP(A260,data!A:D,4,FALSE)</f>
        <v>#N/A</v>
      </c>
      <c r="E260" s="13" t="e">
        <f>VLOOKUP(A260,data!A:E,5,FALSE)</f>
        <v>#N/A</v>
      </c>
      <c r="F260" s="15" t="e">
        <f>VLOOKUP(A260,LineItems!D:I,6,FALSE) / VLOOKUP(A260,LineItems!D:I,5,FALSE)</f>
        <v>#N/A</v>
      </c>
      <c r="G260" s="16" t="e">
        <f xml:space="preserve"> IF((VLOOKUP(A260,data!A:C,3,FALSE)-F260)=0,"No Change","Price Changed")</f>
        <v>#N/A</v>
      </c>
    </row>
    <row r="261" spans="2:7" x14ac:dyDescent="0.2">
      <c r="B261" s="13" t="e">
        <f>VLOOKUP(A261,LineItems!D:E,2,FALSE)</f>
        <v>#N/A</v>
      </c>
      <c r="C261" s="14" t="e">
        <f>F261</f>
        <v>#N/A</v>
      </c>
      <c r="D261" s="13" t="e">
        <f>VLOOKUP(A261,data!A:D,4,FALSE)</f>
        <v>#N/A</v>
      </c>
      <c r="E261" s="13" t="e">
        <f>VLOOKUP(A261,data!A:E,5,FALSE)</f>
        <v>#N/A</v>
      </c>
      <c r="F261" s="15" t="e">
        <f>VLOOKUP(A261,LineItems!D:I,6,FALSE) / VLOOKUP(A261,LineItems!D:I,5,FALSE)</f>
        <v>#N/A</v>
      </c>
      <c r="G261" s="16" t="e">
        <f xml:space="preserve"> IF((VLOOKUP(A261,data!A:C,3,FALSE)-F261)=0,"No Change","Price Changed")</f>
        <v>#N/A</v>
      </c>
    </row>
    <row r="262" spans="2:7" x14ac:dyDescent="0.2">
      <c r="B262" s="13" t="e">
        <f>VLOOKUP(A262,LineItems!D:E,2,FALSE)</f>
        <v>#N/A</v>
      </c>
      <c r="C262" s="14" t="e">
        <f>F262</f>
        <v>#N/A</v>
      </c>
      <c r="D262" s="13" t="e">
        <f>VLOOKUP(A262,data!A:D,4,FALSE)</f>
        <v>#N/A</v>
      </c>
      <c r="E262" s="13" t="e">
        <f>VLOOKUP(A262,data!A:E,5,FALSE)</f>
        <v>#N/A</v>
      </c>
      <c r="F262" s="15" t="e">
        <f>VLOOKUP(A262,LineItems!D:I,6,FALSE) / VLOOKUP(A262,LineItems!D:I,5,FALSE)</f>
        <v>#N/A</v>
      </c>
      <c r="G262" s="16" t="e">
        <f xml:space="preserve"> IF((VLOOKUP(A262,data!A:C,3,FALSE)-F262)=0,"No Change","Price Changed")</f>
        <v>#N/A</v>
      </c>
    </row>
    <row r="263" spans="2:7" x14ac:dyDescent="0.2">
      <c r="B263" s="13" t="e">
        <f>VLOOKUP(A263,LineItems!D:E,2,FALSE)</f>
        <v>#N/A</v>
      </c>
      <c r="C263" s="14" t="e">
        <f>F263</f>
        <v>#N/A</v>
      </c>
      <c r="D263" s="13" t="e">
        <f>VLOOKUP(A263,data!A:D,4,FALSE)</f>
        <v>#N/A</v>
      </c>
      <c r="E263" s="13" t="e">
        <f>VLOOKUP(A263,data!A:E,5,FALSE)</f>
        <v>#N/A</v>
      </c>
      <c r="F263" s="15" t="e">
        <f>VLOOKUP(A263,LineItems!D:I,6,FALSE) / VLOOKUP(A263,LineItems!D:I,5,FALSE)</f>
        <v>#N/A</v>
      </c>
      <c r="G263" s="16" t="e">
        <f xml:space="preserve"> IF((VLOOKUP(A263,data!A:C,3,FALSE)-F263)=0,"No Change","Price Changed")</f>
        <v>#N/A</v>
      </c>
    </row>
    <row r="264" spans="2:7" x14ac:dyDescent="0.2">
      <c r="B264" s="13" t="e">
        <f>VLOOKUP(A264,LineItems!D:E,2,FALSE)</f>
        <v>#N/A</v>
      </c>
      <c r="C264" s="14" t="e">
        <f>F264</f>
        <v>#N/A</v>
      </c>
      <c r="D264" s="13" t="e">
        <f>VLOOKUP(A264,data!A:D,4,FALSE)</f>
        <v>#N/A</v>
      </c>
      <c r="E264" s="13" t="e">
        <f>VLOOKUP(A264,data!A:E,5,FALSE)</f>
        <v>#N/A</v>
      </c>
      <c r="F264" s="15" t="e">
        <f>VLOOKUP(A264,LineItems!D:I,6,FALSE) / VLOOKUP(A264,LineItems!D:I,5,FALSE)</f>
        <v>#N/A</v>
      </c>
      <c r="G264" s="16" t="e">
        <f xml:space="preserve"> IF((VLOOKUP(A264,data!A:C,3,FALSE)-F264)=0,"No Change","Price Changed")</f>
        <v>#N/A</v>
      </c>
    </row>
    <row r="265" spans="2:7" x14ac:dyDescent="0.2">
      <c r="B265" s="13" t="e">
        <f>VLOOKUP(A265,LineItems!D:E,2,FALSE)</f>
        <v>#N/A</v>
      </c>
      <c r="C265" s="14" t="e">
        <f>F265</f>
        <v>#N/A</v>
      </c>
      <c r="D265" s="13" t="e">
        <f>VLOOKUP(A265,data!A:D,4,FALSE)</f>
        <v>#N/A</v>
      </c>
      <c r="E265" s="13" t="e">
        <f>VLOOKUP(A265,data!A:E,5,FALSE)</f>
        <v>#N/A</v>
      </c>
      <c r="F265" s="15" t="e">
        <f>VLOOKUP(A265,LineItems!D:I,6,FALSE) / VLOOKUP(A265,LineItems!D:I,5,FALSE)</f>
        <v>#N/A</v>
      </c>
      <c r="G265" s="16" t="e">
        <f xml:space="preserve"> IF((VLOOKUP(A265,data!A:C,3,FALSE)-F265)=0,"No Change","Price Changed")</f>
        <v>#N/A</v>
      </c>
    </row>
    <row r="266" spans="2:7" x14ac:dyDescent="0.2">
      <c r="B266" s="13" t="e">
        <f>VLOOKUP(A266,LineItems!D:E,2,FALSE)</f>
        <v>#N/A</v>
      </c>
      <c r="C266" s="14" t="e">
        <f>F266</f>
        <v>#N/A</v>
      </c>
      <c r="D266" s="13" t="e">
        <f>VLOOKUP(A266,data!A:D,4,FALSE)</f>
        <v>#N/A</v>
      </c>
      <c r="E266" s="13" t="e">
        <f>VLOOKUP(A266,data!A:E,5,FALSE)</f>
        <v>#N/A</v>
      </c>
      <c r="F266" s="15" t="e">
        <f>VLOOKUP(A266,LineItems!D:I,6,FALSE) / VLOOKUP(A266,LineItems!D:I,5,FALSE)</f>
        <v>#N/A</v>
      </c>
      <c r="G266" s="16" t="e">
        <f xml:space="preserve"> IF((VLOOKUP(A266,data!A:C,3,FALSE)-F266)=0,"No Change","Price Changed")</f>
        <v>#N/A</v>
      </c>
    </row>
    <row r="267" spans="2:7" x14ac:dyDescent="0.2">
      <c r="B267" s="13" t="e">
        <f>VLOOKUP(A267,LineItems!D:E,2,FALSE)</f>
        <v>#N/A</v>
      </c>
      <c r="C267" s="14" t="e">
        <f>F267</f>
        <v>#N/A</v>
      </c>
      <c r="D267" s="13" t="e">
        <f>VLOOKUP(A267,data!A:D,4,FALSE)</f>
        <v>#N/A</v>
      </c>
      <c r="E267" s="13" t="e">
        <f>VLOOKUP(A267,data!A:E,5,FALSE)</f>
        <v>#N/A</v>
      </c>
      <c r="F267" s="15" t="e">
        <f>VLOOKUP(A267,LineItems!D:I,6,FALSE) / VLOOKUP(A267,LineItems!D:I,5,FALSE)</f>
        <v>#N/A</v>
      </c>
      <c r="G267" s="16" t="e">
        <f xml:space="preserve"> IF((VLOOKUP(A267,data!A:C,3,FALSE)-F267)=0,"No Change","Price Changed")</f>
        <v>#N/A</v>
      </c>
    </row>
    <row r="268" spans="2:7" x14ac:dyDescent="0.2">
      <c r="B268" s="13" t="e">
        <f>VLOOKUP(A268,LineItems!D:E,2,FALSE)</f>
        <v>#N/A</v>
      </c>
      <c r="C268" s="14" t="e">
        <f>F268</f>
        <v>#N/A</v>
      </c>
      <c r="D268" s="13" t="e">
        <f>VLOOKUP(A268,data!A:D,4,FALSE)</f>
        <v>#N/A</v>
      </c>
      <c r="E268" s="13" t="e">
        <f>VLOOKUP(A268,data!A:E,5,FALSE)</f>
        <v>#N/A</v>
      </c>
      <c r="F268" s="15" t="e">
        <f>VLOOKUP(A268,LineItems!D:I,6,FALSE) / VLOOKUP(A268,LineItems!D:I,5,FALSE)</f>
        <v>#N/A</v>
      </c>
      <c r="G268" s="16" t="e">
        <f xml:space="preserve"> IF((VLOOKUP(A268,data!A:C,3,FALSE)-F268)=0,"No Change","Price Changed")</f>
        <v>#N/A</v>
      </c>
    </row>
    <row r="269" spans="2:7" x14ac:dyDescent="0.2">
      <c r="B269" s="13" t="e">
        <f>VLOOKUP(A269,LineItems!D:E,2,FALSE)</f>
        <v>#N/A</v>
      </c>
      <c r="C269" s="14" t="e">
        <f>F269</f>
        <v>#N/A</v>
      </c>
      <c r="D269" s="13" t="e">
        <f>VLOOKUP(A269,data!A:D,4,FALSE)</f>
        <v>#N/A</v>
      </c>
      <c r="E269" s="13" t="e">
        <f>VLOOKUP(A269,data!A:E,5,FALSE)</f>
        <v>#N/A</v>
      </c>
      <c r="F269" s="15" t="e">
        <f>VLOOKUP(A269,LineItems!D:I,6,FALSE) / VLOOKUP(A269,LineItems!D:I,5,FALSE)</f>
        <v>#N/A</v>
      </c>
      <c r="G269" s="16" t="e">
        <f xml:space="preserve"> IF((VLOOKUP(A269,data!A:C,3,FALSE)-F269)=0,"No Change","Price Changed")</f>
        <v>#N/A</v>
      </c>
    </row>
    <row r="270" spans="2:7" x14ac:dyDescent="0.2">
      <c r="B270" s="13" t="e">
        <f>VLOOKUP(A270,LineItems!D:E,2,FALSE)</f>
        <v>#N/A</v>
      </c>
      <c r="C270" s="14" t="e">
        <f>F270</f>
        <v>#N/A</v>
      </c>
      <c r="D270" s="13" t="e">
        <f>VLOOKUP(A270,data!A:D,4,FALSE)</f>
        <v>#N/A</v>
      </c>
      <c r="E270" s="13" t="e">
        <f>VLOOKUP(A270,data!A:E,5,FALSE)</f>
        <v>#N/A</v>
      </c>
      <c r="F270" s="15" t="e">
        <f>VLOOKUP(A270,LineItems!D:I,6,FALSE) / VLOOKUP(A270,LineItems!D:I,5,FALSE)</f>
        <v>#N/A</v>
      </c>
      <c r="G270" s="16" t="e">
        <f xml:space="preserve"> IF((VLOOKUP(A270,data!A:C,3,FALSE)-F270)=0,"No Change","Price Changed")</f>
        <v>#N/A</v>
      </c>
    </row>
    <row r="271" spans="2:7" x14ac:dyDescent="0.2">
      <c r="B271" s="13" t="e">
        <f>VLOOKUP(A271,LineItems!D:E,2,FALSE)</f>
        <v>#N/A</v>
      </c>
      <c r="C271" s="14" t="e">
        <f>F271</f>
        <v>#N/A</v>
      </c>
      <c r="D271" s="13" t="e">
        <f>VLOOKUP(A271,data!A:D,4,FALSE)</f>
        <v>#N/A</v>
      </c>
      <c r="E271" s="13" t="e">
        <f>VLOOKUP(A271,data!A:E,5,FALSE)</f>
        <v>#N/A</v>
      </c>
      <c r="F271" s="15" t="e">
        <f>VLOOKUP(A271,LineItems!D:I,6,FALSE) / VLOOKUP(A271,LineItems!D:I,5,FALSE)</f>
        <v>#N/A</v>
      </c>
      <c r="G271" s="16" t="e">
        <f xml:space="preserve"> IF((VLOOKUP(A271,data!A:C,3,FALSE)-F271)=0,"No Change","Price Changed")</f>
        <v>#N/A</v>
      </c>
    </row>
    <row r="272" spans="2:7" x14ac:dyDescent="0.2">
      <c r="B272" s="13" t="e">
        <f>VLOOKUP(A272,LineItems!D:E,2,FALSE)</f>
        <v>#N/A</v>
      </c>
      <c r="C272" s="14" t="e">
        <f>F272</f>
        <v>#N/A</v>
      </c>
      <c r="D272" s="13" t="e">
        <f>VLOOKUP(A272,data!A:D,4,FALSE)</f>
        <v>#N/A</v>
      </c>
      <c r="E272" s="13" t="e">
        <f>VLOOKUP(A272,data!A:E,5,FALSE)</f>
        <v>#N/A</v>
      </c>
      <c r="F272" s="15" t="e">
        <f>VLOOKUP(A272,LineItems!D:I,6,FALSE) / VLOOKUP(A272,LineItems!D:I,5,FALSE)</f>
        <v>#N/A</v>
      </c>
      <c r="G272" s="16" t="e">
        <f xml:space="preserve"> IF((VLOOKUP(A272,data!A:C,3,FALSE)-F272)=0,"No Change","Price Changed")</f>
        <v>#N/A</v>
      </c>
    </row>
    <row r="273" spans="2:7" x14ac:dyDescent="0.2">
      <c r="B273" s="13" t="e">
        <f>VLOOKUP(A273,LineItems!D:E,2,FALSE)</f>
        <v>#N/A</v>
      </c>
      <c r="C273" s="14" t="e">
        <f>F273</f>
        <v>#N/A</v>
      </c>
      <c r="D273" s="13" t="e">
        <f>VLOOKUP(A273,data!A:D,4,FALSE)</f>
        <v>#N/A</v>
      </c>
      <c r="E273" s="13" t="e">
        <f>VLOOKUP(A273,data!A:E,5,FALSE)</f>
        <v>#N/A</v>
      </c>
      <c r="F273" s="15" t="e">
        <f>VLOOKUP(A273,LineItems!D:I,6,FALSE) / VLOOKUP(A273,LineItems!D:I,5,FALSE)</f>
        <v>#N/A</v>
      </c>
      <c r="G273" s="16" t="e">
        <f xml:space="preserve"> IF((VLOOKUP(A273,data!A:C,3,FALSE)-F273)=0,"No Change","Price Changed")</f>
        <v>#N/A</v>
      </c>
    </row>
    <row r="274" spans="2:7" x14ac:dyDescent="0.2">
      <c r="B274" s="13" t="e">
        <f>VLOOKUP(A274,LineItems!D:E,2,FALSE)</f>
        <v>#N/A</v>
      </c>
      <c r="C274" s="14" t="e">
        <f>F274</f>
        <v>#N/A</v>
      </c>
      <c r="D274" s="13" t="e">
        <f>VLOOKUP(A274,data!A:D,4,FALSE)</f>
        <v>#N/A</v>
      </c>
      <c r="E274" s="13" t="e">
        <f>VLOOKUP(A274,data!A:E,5,FALSE)</f>
        <v>#N/A</v>
      </c>
      <c r="F274" s="15" t="e">
        <f>VLOOKUP(A274,LineItems!D:I,6,FALSE) / VLOOKUP(A274,LineItems!D:I,5,FALSE)</f>
        <v>#N/A</v>
      </c>
      <c r="G274" s="16" t="e">
        <f xml:space="preserve"> IF((VLOOKUP(A274,data!A:C,3,FALSE)-F274)=0,"No Change","Price Changed")</f>
        <v>#N/A</v>
      </c>
    </row>
    <row r="275" spans="2:7" x14ac:dyDescent="0.2">
      <c r="B275" s="13" t="e">
        <f>VLOOKUP(A275,LineItems!D:E,2,FALSE)</f>
        <v>#N/A</v>
      </c>
      <c r="C275" s="14" t="e">
        <f>F275</f>
        <v>#N/A</v>
      </c>
      <c r="D275" s="13" t="e">
        <f>VLOOKUP(A275,data!A:D,4,FALSE)</f>
        <v>#N/A</v>
      </c>
      <c r="E275" s="13" t="e">
        <f>VLOOKUP(A275,data!A:E,5,FALSE)</f>
        <v>#N/A</v>
      </c>
      <c r="F275" s="15" t="e">
        <f>VLOOKUP(A275,LineItems!D:I,6,FALSE) / VLOOKUP(A275,LineItems!D:I,5,FALSE)</f>
        <v>#N/A</v>
      </c>
      <c r="G275" s="16" t="e">
        <f xml:space="preserve"> IF((VLOOKUP(A275,data!A:C,3,FALSE)-F275)=0,"No Change","Price Changed")</f>
        <v>#N/A</v>
      </c>
    </row>
    <row r="276" spans="2:7" x14ac:dyDescent="0.2">
      <c r="B276" s="13" t="e">
        <f>VLOOKUP(A276,LineItems!D:E,2,FALSE)</f>
        <v>#N/A</v>
      </c>
      <c r="C276" s="14" t="e">
        <f>F276</f>
        <v>#N/A</v>
      </c>
      <c r="D276" s="13" t="e">
        <f>VLOOKUP(A276,data!A:D,4,FALSE)</f>
        <v>#N/A</v>
      </c>
      <c r="E276" s="13" t="e">
        <f>VLOOKUP(A276,data!A:E,5,FALSE)</f>
        <v>#N/A</v>
      </c>
      <c r="F276" s="15" t="e">
        <f>VLOOKUP(A276,LineItems!D:I,6,FALSE) / VLOOKUP(A276,LineItems!D:I,5,FALSE)</f>
        <v>#N/A</v>
      </c>
      <c r="G276" s="16" t="e">
        <f xml:space="preserve"> IF((VLOOKUP(A276,data!A:C,3,FALSE)-F276)=0,"No Change","Price Changed")</f>
        <v>#N/A</v>
      </c>
    </row>
    <row r="277" spans="2:7" x14ac:dyDescent="0.2">
      <c r="B277" s="13" t="e">
        <f>VLOOKUP(A277,LineItems!D:E,2,FALSE)</f>
        <v>#N/A</v>
      </c>
      <c r="C277" s="14" t="e">
        <f>F277</f>
        <v>#N/A</v>
      </c>
      <c r="D277" s="13" t="e">
        <f>VLOOKUP(A277,data!A:D,4,FALSE)</f>
        <v>#N/A</v>
      </c>
      <c r="E277" s="13" t="e">
        <f>VLOOKUP(A277,data!A:E,5,FALSE)</f>
        <v>#N/A</v>
      </c>
      <c r="F277" s="15" t="e">
        <f>VLOOKUP(A277,LineItems!D:I,6,FALSE) / VLOOKUP(A277,LineItems!D:I,5,FALSE)</f>
        <v>#N/A</v>
      </c>
      <c r="G277" s="16" t="e">
        <f xml:space="preserve"> IF((VLOOKUP(A277,data!A:C,3,FALSE)-F277)=0,"No Change","Price Changed")</f>
        <v>#N/A</v>
      </c>
    </row>
    <row r="278" spans="2:7" x14ac:dyDescent="0.2">
      <c r="B278" s="13" t="e">
        <f>VLOOKUP(A278,LineItems!D:E,2,FALSE)</f>
        <v>#N/A</v>
      </c>
      <c r="C278" s="14" t="e">
        <f>F278</f>
        <v>#N/A</v>
      </c>
      <c r="D278" s="13" t="e">
        <f>VLOOKUP(A278,data!A:D,4,FALSE)</f>
        <v>#N/A</v>
      </c>
      <c r="E278" s="13" t="e">
        <f>VLOOKUP(A278,data!A:E,5,FALSE)</f>
        <v>#N/A</v>
      </c>
      <c r="F278" s="15" t="e">
        <f>VLOOKUP(A278,LineItems!D:I,6,FALSE) / VLOOKUP(A278,LineItems!D:I,5,FALSE)</f>
        <v>#N/A</v>
      </c>
      <c r="G278" s="16" t="e">
        <f xml:space="preserve"> IF((VLOOKUP(A278,data!A:C,3,FALSE)-F278)=0,"No Change","Price Changed")</f>
        <v>#N/A</v>
      </c>
    </row>
    <row r="279" spans="2:7" x14ac:dyDescent="0.2">
      <c r="B279" s="13" t="e">
        <f>VLOOKUP(A279,LineItems!D:E,2,FALSE)</f>
        <v>#N/A</v>
      </c>
      <c r="C279" s="14" t="e">
        <f>F279</f>
        <v>#N/A</v>
      </c>
      <c r="D279" s="13" t="e">
        <f>VLOOKUP(A279,data!A:D,4,FALSE)</f>
        <v>#N/A</v>
      </c>
      <c r="E279" s="13" t="e">
        <f>VLOOKUP(A279,data!A:E,5,FALSE)</f>
        <v>#N/A</v>
      </c>
      <c r="F279" s="15" t="e">
        <f>VLOOKUP(A279,LineItems!D:I,6,FALSE) / VLOOKUP(A279,LineItems!D:I,5,FALSE)</f>
        <v>#N/A</v>
      </c>
      <c r="G279" s="16" t="e">
        <f xml:space="preserve"> IF((VLOOKUP(A279,data!A:C,3,FALSE)-F279)=0,"No Change","Price Changed")</f>
        <v>#N/A</v>
      </c>
    </row>
    <row r="280" spans="2:7" x14ac:dyDescent="0.2">
      <c r="B280" s="13" t="e">
        <f>VLOOKUP(A280,LineItems!D:E,2,FALSE)</f>
        <v>#N/A</v>
      </c>
      <c r="C280" s="14" t="e">
        <f>F280</f>
        <v>#N/A</v>
      </c>
      <c r="D280" s="13" t="e">
        <f>VLOOKUP(A280,data!A:D,4,FALSE)</f>
        <v>#N/A</v>
      </c>
      <c r="E280" s="13" t="e">
        <f>VLOOKUP(A280,data!A:E,5,FALSE)</f>
        <v>#N/A</v>
      </c>
      <c r="F280" s="15" t="e">
        <f>VLOOKUP(A280,LineItems!D:I,6,FALSE) / VLOOKUP(A280,LineItems!D:I,5,FALSE)</f>
        <v>#N/A</v>
      </c>
      <c r="G280" s="16" t="e">
        <f xml:space="preserve"> IF((VLOOKUP(A280,data!A:C,3,FALSE)-F280)=0,"No Change","Price Changed")</f>
        <v>#N/A</v>
      </c>
    </row>
    <row r="281" spans="2:7" x14ac:dyDescent="0.2">
      <c r="B281" s="13" t="e">
        <f>VLOOKUP(A281,LineItems!D:E,2,FALSE)</f>
        <v>#N/A</v>
      </c>
      <c r="C281" s="14" t="e">
        <f>F281</f>
        <v>#N/A</v>
      </c>
      <c r="D281" s="13" t="e">
        <f>VLOOKUP(A281,data!A:D,4,FALSE)</f>
        <v>#N/A</v>
      </c>
      <c r="E281" s="13" t="e">
        <f>VLOOKUP(A281,data!A:E,5,FALSE)</f>
        <v>#N/A</v>
      </c>
      <c r="F281" s="15" t="e">
        <f>VLOOKUP(A281,LineItems!D:I,6,FALSE) / VLOOKUP(A281,LineItems!D:I,5,FALSE)</f>
        <v>#N/A</v>
      </c>
      <c r="G281" s="16" t="e">
        <f xml:space="preserve"> IF((VLOOKUP(A281,data!A:C,3,FALSE)-F281)=0,"No Change","Price Changed")</f>
        <v>#N/A</v>
      </c>
    </row>
    <row r="282" spans="2:7" x14ac:dyDescent="0.2">
      <c r="B282" s="13" t="e">
        <f>VLOOKUP(A282,LineItems!D:E,2,FALSE)</f>
        <v>#N/A</v>
      </c>
      <c r="C282" s="14" t="e">
        <f>F282</f>
        <v>#N/A</v>
      </c>
      <c r="D282" s="13" t="e">
        <f>VLOOKUP(A282,data!A:D,4,FALSE)</f>
        <v>#N/A</v>
      </c>
      <c r="E282" s="13" t="e">
        <f>VLOOKUP(A282,data!A:E,5,FALSE)</f>
        <v>#N/A</v>
      </c>
      <c r="F282" s="15" t="e">
        <f>VLOOKUP(A282,LineItems!D:I,6,FALSE) / VLOOKUP(A282,LineItems!D:I,5,FALSE)</f>
        <v>#N/A</v>
      </c>
      <c r="G282" s="16" t="e">
        <f xml:space="preserve"> IF((VLOOKUP(A282,data!A:C,3,FALSE)-F282)=0,"No Change","Price Changed")</f>
        <v>#N/A</v>
      </c>
    </row>
    <row r="283" spans="2:7" x14ac:dyDescent="0.2">
      <c r="B283" s="13" t="e">
        <f>VLOOKUP(A283,LineItems!D:E,2,FALSE)</f>
        <v>#N/A</v>
      </c>
      <c r="C283" s="14" t="e">
        <f>F283</f>
        <v>#N/A</v>
      </c>
      <c r="D283" s="13" t="e">
        <f>VLOOKUP(A283,data!A:D,4,FALSE)</f>
        <v>#N/A</v>
      </c>
      <c r="E283" s="13" t="e">
        <f>VLOOKUP(A283,data!A:E,5,FALSE)</f>
        <v>#N/A</v>
      </c>
      <c r="F283" s="15" t="e">
        <f>VLOOKUP(A283,LineItems!D:I,6,FALSE) / VLOOKUP(A283,LineItems!D:I,5,FALSE)</f>
        <v>#N/A</v>
      </c>
      <c r="G283" s="16" t="e">
        <f xml:space="preserve"> IF((VLOOKUP(A283,data!A:C,3,FALSE)-F283)=0,"No Change","Price Changed")</f>
        <v>#N/A</v>
      </c>
    </row>
    <row r="284" spans="2:7" x14ac:dyDescent="0.2">
      <c r="B284" s="13" t="e">
        <f>VLOOKUP(A284,LineItems!D:E,2,FALSE)</f>
        <v>#N/A</v>
      </c>
      <c r="C284" s="14" t="e">
        <f>F284</f>
        <v>#N/A</v>
      </c>
      <c r="D284" s="13" t="e">
        <f>VLOOKUP(A284,data!A:D,4,FALSE)</f>
        <v>#N/A</v>
      </c>
      <c r="E284" s="13" t="e">
        <f>VLOOKUP(A284,data!A:E,5,FALSE)</f>
        <v>#N/A</v>
      </c>
      <c r="F284" s="15" t="e">
        <f>VLOOKUP(A284,LineItems!D:I,6,FALSE) / VLOOKUP(A284,LineItems!D:I,5,FALSE)</f>
        <v>#N/A</v>
      </c>
      <c r="G284" s="16" t="e">
        <f xml:space="preserve"> IF((VLOOKUP(A284,data!A:C,3,FALSE)-F284)=0,"No Change","Price Changed")</f>
        <v>#N/A</v>
      </c>
    </row>
    <row r="285" spans="2:7" x14ac:dyDescent="0.2">
      <c r="B285" s="13" t="e">
        <f>VLOOKUP(A285,LineItems!D:E,2,FALSE)</f>
        <v>#N/A</v>
      </c>
      <c r="C285" s="14" t="e">
        <f>F285</f>
        <v>#N/A</v>
      </c>
      <c r="D285" s="13" t="e">
        <f>VLOOKUP(A285,data!A:D,4,FALSE)</f>
        <v>#N/A</v>
      </c>
      <c r="E285" s="13" t="e">
        <f>VLOOKUP(A285,data!A:E,5,FALSE)</f>
        <v>#N/A</v>
      </c>
      <c r="F285" s="15" t="e">
        <f>VLOOKUP(A285,LineItems!D:I,6,FALSE) / VLOOKUP(A285,LineItems!D:I,5,FALSE)</f>
        <v>#N/A</v>
      </c>
      <c r="G285" s="16" t="e">
        <f xml:space="preserve"> IF((VLOOKUP(A285,data!A:C,3,FALSE)-F285)=0,"No Change","Price Changed")</f>
        <v>#N/A</v>
      </c>
    </row>
    <row r="286" spans="2:7" x14ac:dyDescent="0.2">
      <c r="B286" s="13" t="e">
        <f>VLOOKUP(A286,LineItems!D:E,2,FALSE)</f>
        <v>#N/A</v>
      </c>
      <c r="C286" s="14" t="e">
        <f>F286</f>
        <v>#N/A</v>
      </c>
      <c r="D286" s="13" t="e">
        <f>VLOOKUP(A286,data!A:D,4,FALSE)</f>
        <v>#N/A</v>
      </c>
      <c r="E286" s="13" t="e">
        <f>VLOOKUP(A286,data!A:E,5,FALSE)</f>
        <v>#N/A</v>
      </c>
      <c r="F286" s="15" t="e">
        <f>VLOOKUP(A286,LineItems!D:I,6,FALSE) / VLOOKUP(A286,LineItems!D:I,5,FALSE)</f>
        <v>#N/A</v>
      </c>
      <c r="G286" s="16" t="e">
        <f xml:space="preserve"> IF((VLOOKUP(A286,data!A:C,3,FALSE)-F286)=0,"No Change","Price Changed")</f>
        <v>#N/A</v>
      </c>
    </row>
    <row r="287" spans="2:7" x14ac:dyDescent="0.2">
      <c r="B287" s="13" t="e">
        <f>VLOOKUP(A287,LineItems!D:E,2,FALSE)</f>
        <v>#N/A</v>
      </c>
      <c r="C287" s="14" t="e">
        <f>F287</f>
        <v>#N/A</v>
      </c>
      <c r="D287" s="13" t="e">
        <f>VLOOKUP(A287,data!A:D,4,FALSE)</f>
        <v>#N/A</v>
      </c>
      <c r="E287" s="13" t="e">
        <f>VLOOKUP(A287,data!A:E,5,FALSE)</f>
        <v>#N/A</v>
      </c>
      <c r="F287" s="15" t="e">
        <f>VLOOKUP(A287,LineItems!D:I,6,FALSE) / VLOOKUP(A287,LineItems!D:I,5,FALSE)</f>
        <v>#N/A</v>
      </c>
      <c r="G287" s="16" t="e">
        <f xml:space="preserve"> IF((VLOOKUP(A287,data!A:C,3,FALSE)-F287)=0,"No Change","Price Changed")</f>
        <v>#N/A</v>
      </c>
    </row>
    <row r="288" spans="2:7" x14ac:dyDescent="0.2">
      <c r="B288" s="13" t="e">
        <f>VLOOKUP(A288,LineItems!D:E,2,FALSE)</f>
        <v>#N/A</v>
      </c>
      <c r="C288" s="14" t="e">
        <f>F288</f>
        <v>#N/A</v>
      </c>
      <c r="D288" s="13" t="e">
        <f>VLOOKUP(A288,data!A:D,4,FALSE)</f>
        <v>#N/A</v>
      </c>
      <c r="E288" s="13" t="e">
        <f>VLOOKUP(A288,data!A:E,5,FALSE)</f>
        <v>#N/A</v>
      </c>
      <c r="F288" s="15" t="e">
        <f>VLOOKUP(A288,LineItems!D:I,6,FALSE) / VLOOKUP(A288,LineItems!D:I,5,FALSE)</f>
        <v>#N/A</v>
      </c>
      <c r="G288" s="16" t="e">
        <f xml:space="preserve"> IF((VLOOKUP(A288,data!A:C,3,FALSE)-F288)=0,"No Change","Price Changed")</f>
        <v>#N/A</v>
      </c>
    </row>
    <row r="289" spans="2:7" x14ac:dyDescent="0.2">
      <c r="B289" s="13" t="e">
        <f>VLOOKUP(A289,LineItems!D:E,2,FALSE)</f>
        <v>#N/A</v>
      </c>
      <c r="C289" s="14" t="e">
        <f>F289</f>
        <v>#N/A</v>
      </c>
      <c r="D289" s="13" t="e">
        <f>VLOOKUP(A289,data!A:D,4,FALSE)</f>
        <v>#N/A</v>
      </c>
      <c r="E289" s="13" t="e">
        <f>VLOOKUP(A289,data!A:E,5,FALSE)</f>
        <v>#N/A</v>
      </c>
      <c r="F289" s="15" t="e">
        <f>VLOOKUP(A289,LineItems!D:I,6,FALSE) / VLOOKUP(A289,LineItems!D:I,5,FALSE)</f>
        <v>#N/A</v>
      </c>
      <c r="G289" s="16" t="e">
        <f xml:space="preserve"> IF((VLOOKUP(A289,data!A:C,3,FALSE)-F289)=0,"No Change","Price Changed")</f>
        <v>#N/A</v>
      </c>
    </row>
    <row r="290" spans="2:7" x14ac:dyDescent="0.2">
      <c r="B290" s="13" t="e">
        <f>VLOOKUP(A290,LineItems!D:E,2,FALSE)</f>
        <v>#N/A</v>
      </c>
      <c r="C290" s="14" t="e">
        <f>F290</f>
        <v>#N/A</v>
      </c>
      <c r="D290" s="13" t="e">
        <f>VLOOKUP(A290,data!A:D,4,FALSE)</f>
        <v>#N/A</v>
      </c>
      <c r="E290" s="13" t="e">
        <f>VLOOKUP(A290,data!A:E,5,FALSE)</f>
        <v>#N/A</v>
      </c>
      <c r="F290" s="15" t="e">
        <f>VLOOKUP(A290,LineItems!D:I,6,FALSE) / VLOOKUP(A290,LineItems!D:I,5,FALSE)</f>
        <v>#N/A</v>
      </c>
      <c r="G290" s="16" t="e">
        <f xml:space="preserve"> IF((VLOOKUP(A290,data!A:C,3,FALSE)-F290)=0,"No Change","Price Changed")</f>
        <v>#N/A</v>
      </c>
    </row>
    <row r="291" spans="2:7" x14ac:dyDescent="0.2">
      <c r="B291" s="13" t="e">
        <f>VLOOKUP(A291,LineItems!D:E,2,FALSE)</f>
        <v>#N/A</v>
      </c>
      <c r="C291" s="14" t="e">
        <f>F291</f>
        <v>#N/A</v>
      </c>
      <c r="D291" s="13" t="e">
        <f>VLOOKUP(A291,data!A:D,4,FALSE)</f>
        <v>#N/A</v>
      </c>
      <c r="E291" s="13" t="e">
        <f>VLOOKUP(A291,data!A:E,5,FALSE)</f>
        <v>#N/A</v>
      </c>
      <c r="F291" s="15" t="e">
        <f>VLOOKUP(A291,LineItems!D:I,6,FALSE) / VLOOKUP(A291,LineItems!D:I,5,FALSE)</f>
        <v>#N/A</v>
      </c>
      <c r="G291" s="16" t="e">
        <f xml:space="preserve"> IF((VLOOKUP(A291,data!A:C,3,FALSE)-F291)=0,"No Change","Price Changed")</f>
        <v>#N/A</v>
      </c>
    </row>
    <row r="292" spans="2:7" x14ac:dyDescent="0.2">
      <c r="B292" s="13" t="e">
        <f>VLOOKUP(A292,LineItems!D:E,2,FALSE)</f>
        <v>#N/A</v>
      </c>
      <c r="C292" s="14" t="e">
        <f>F292</f>
        <v>#N/A</v>
      </c>
      <c r="D292" s="13" t="e">
        <f>VLOOKUP(A292,data!A:D,4,FALSE)</f>
        <v>#N/A</v>
      </c>
      <c r="E292" s="13" t="e">
        <f>VLOOKUP(A292,data!A:E,5,FALSE)</f>
        <v>#N/A</v>
      </c>
      <c r="F292" s="15" t="e">
        <f>VLOOKUP(A292,LineItems!D:I,6,FALSE) / VLOOKUP(A292,LineItems!D:I,5,FALSE)</f>
        <v>#N/A</v>
      </c>
      <c r="G292" s="16" t="e">
        <f xml:space="preserve"> IF((VLOOKUP(A292,data!A:C,3,FALSE)-F292)=0,"No Change","Price Changed")</f>
        <v>#N/A</v>
      </c>
    </row>
    <row r="293" spans="2:7" x14ac:dyDescent="0.2">
      <c r="B293" s="13" t="e">
        <f>VLOOKUP(A293,LineItems!D:E,2,FALSE)</f>
        <v>#N/A</v>
      </c>
      <c r="C293" s="14" t="e">
        <f>F293</f>
        <v>#N/A</v>
      </c>
      <c r="D293" s="13" t="e">
        <f>VLOOKUP(A293,data!A:D,4,FALSE)</f>
        <v>#N/A</v>
      </c>
      <c r="E293" s="13" t="e">
        <f>VLOOKUP(A293,data!A:E,5,FALSE)</f>
        <v>#N/A</v>
      </c>
      <c r="F293" s="15" t="e">
        <f>VLOOKUP(A293,LineItems!D:I,6,FALSE) / VLOOKUP(A293,LineItems!D:I,5,FALSE)</f>
        <v>#N/A</v>
      </c>
      <c r="G293" s="16" t="e">
        <f xml:space="preserve"> IF((VLOOKUP(A293,data!A:C,3,FALSE)-F293)=0,"No Change","Price Changed")</f>
        <v>#N/A</v>
      </c>
    </row>
    <row r="294" spans="2:7" x14ac:dyDescent="0.2">
      <c r="B294" s="13" t="e">
        <f>VLOOKUP(A294,LineItems!D:E,2,FALSE)</f>
        <v>#N/A</v>
      </c>
      <c r="C294" s="14" t="e">
        <f>F294</f>
        <v>#N/A</v>
      </c>
      <c r="D294" s="13" t="e">
        <f>VLOOKUP(A294,data!A:D,4,FALSE)</f>
        <v>#N/A</v>
      </c>
      <c r="E294" s="13" t="e">
        <f>VLOOKUP(A294,data!A:E,5,FALSE)</f>
        <v>#N/A</v>
      </c>
      <c r="F294" s="15" t="e">
        <f>VLOOKUP(A294,LineItems!D:I,6,FALSE) / VLOOKUP(A294,LineItems!D:I,5,FALSE)</f>
        <v>#N/A</v>
      </c>
      <c r="G294" s="16" t="e">
        <f xml:space="preserve"> IF((VLOOKUP(A294,data!A:C,3,FALSE)-F294)=0,"No Change","Price Changed")</f>
        <v>#N/A</v>
      </c>
    </row>
    <row r="295" spans="2:7" x14ac:dyDescent="0.2">
      <c r="B295" s="13" t="e">
        <f>VLOOKUP(A295,LineItems!D:E,2,FALSE)</f>
        <v>#N/A</v>
      </c>
      <c r="C295" s="14" t="e">
        <f>F295</f>
        <v>#N/A</v>
      </c>
      <c r="D295" s="13" t="e">
        <f>VLOOKUP(A295,data!A:D,4,FALSE)</f>
        <v>#N/A</v>
      </c>
      <c r="E295" s="13" t="e">
        <f>VLOOKUP(A295,data!A:E,5,FALSE)</f>
        <v>#N/A</v>
      </c>
      <c r="F295" s="15" t="e">
        <f>VLOOKUP(A295,LineItems!D:I,6,FALSE) / VLOOKUP(A295,LineItems!D:I,5,FALSE)</f>
        <v>#N/A</v>
      </c>
      <c r="G295" s="16" t="e">
        <f xml:space="preserve"> IF((VLOOKUP(A295,data!A:C,3,FALSE)-F295)=0,"No Change","Price Changed")</f>
        <v>#N/A</v>
      </c>
    </row>
    <row r="296" spans="2:7" x14ac:dyDescent="0.2">
      <c r="B296" s="13" t="e">
        <f>VLOOKUP(A296,LineItems!D:E,2,FALSE)</f>
        <v>#N/A</v>
      </c>
      <c r="C296" s="14" t="e">
        <f>F296</f>
        <v>#N/A</v>
      </c>
      <c r="D296" s="13" t="e">
        <f>VLOOKUP(A296,data!A:D,4,FALSE)</f>
        <v>#N/A</v>
      </c>
      <c r="E296" s="13" t="e">
        <f>VLOOKUP(A296,data!A:E,5,FALSE)</f>
        <v>#N/A</v>
      </c>
      <c r="F296" s="15" t="e">
        <f>VLOOKUP(A296,LineItems!D:I,6,FALSE) / VLOOKUP(A296,LineItems!D:I,5,FALSE)</f>
        <v>#N/A</v>
      </c>
      <c r="G296" s="16" t="e">
        <f xml:space="preserve"> IF((VLOOKUP(A296,data!A:C,3,FALSE)-F296)=0,"No Change","Price Changed")</f>
        <v>#N/A</v>
      </c>
    </row>
    <row r="297" spans="2:7" x14ac:dyDescent="0.2">
      <c r="B297" s="13" t="e">
        <f>VLOOKUP(A297,LineItems!D:E,2,FALSE)</f>
        <v>#N/A</v>
      </c>
      <c r="C297" s="14" t="e">
        <f>F297</f>
        <v>#N/A</v>
      </c>
      <c r="D297" s="13" t="e">
        <f>VLOOKUP(A297,data!A:D,4,FALSE)</f>
        <v>#N/A</v>
      </c>
      <c r="E297" s="13" t="e">
        <f>VLOOKUP(A297,data!A:E,5,FALSE)</f>
        <v>#N/A</v>
      </c>
      <c r="F297" s="15" t="e">
        <f>VLOOKUP(A297,LineItems!D:I,6,FALSE) / VLOOKUP(A297,LineItems!D:I,5,FALSE)</f>
        <v>#N/A</v>
      </c>
      <c r="G297" s="16" t="e">
        <f xml:space="preserve"> IF((VLOOKUP(A297,data!A:C,3,FALSE)-F297)=0,"No Change","Price Changed")</f>
        <v>#N/A</v>
      </c>
    </row>
    <row r="298" spans="2:7" x14ac:dyDescent="0.2">
      <c r="B298" s="13" t="e">
        <f>VLOOKUP(A298,LineItems!D:E,2,FALSE)</f>
        <v>#N/A</v>
      </c>
      <c r="C298" s="14" t="e">
        <f>F298</f>
        <v>#N/A</v>
      </c>
      <c r="D298" s="13" t="e">
        <f>VLOOKUP(A298,data!A:D,4,FALSE)</f>
        <v>#N/A</v>
      </c>
      <c r="E298" s="13" t="e">
        <f>VLOOKUP(A298,data!A:E,5,FALSE)</f>
        <v>#N/A</v>
      </c>
      <c r="F298" s="15" t="e">
        <f>VLOOKUP(A298,LineItems!D:I,6,FALSE) / VLOOKUP(A298,LineItems!D:I,5,FALSE)</f>
        <v>#N/A</v>
      </c>
      <c r="G298" s="16" t="e">
        <f xml:space="preserve"> IF((VLOOKUP(A298,data!A:C,3,FALSE)-F298)=0,"No Change","Price Changed")</f>
        <v>#N/A</v>
      </c>
    </row>
    <row r="299" spans="2:7" x14ac:dyDescent="0.2">
      <c r="B299" s="13" t="e">
        <f>VLOOKUP(A299,LineItems!D:E,2,FALSE)</f>
        <v>#N/A</v>
      </c>
      <c r="C299" s="14" t="e">
        <f>F299</f>
        <v>#N/A</v>
      </c>
      <c r="D299" s="13" t="e">
        <f>VLOOKUP(A299,data!A:D,4,FALSE)</f>
        <v>#N/A</v>
      </c>
      <c r="E299" s="13" t="e">
        <f>VLOOKUP(A299,data!A:E,5,FALSE)</f>
        <v>#N/A</v>
      </c>
      <c r="F299" s="15" t="e">
        <f>VLOOKUP(A299,LineItems!D:I,6,FALSE) / VLOOKUP(A299,LineItems!D:I,5,FALSE)</f>
        <v>#N/A</v>
      </c>
      <c r="G299" s="16" t="e">
        <f xml:space="preserve"> IF((VLOOKUP(A299,data!A:C,3,FALSE)-F299)=0,"No Change","Price Changed")</f>
        <v>#N/A</v>
      </c>
    </row>
    <row r="300" spans="2:7" x14ac:dyDescent="0.2">
      <c r="B300" s="13" t="e">
        <f>VLOOKUP(A300,LineItems!D:E,2,FALSE)</f>
        <v>#N/A</v>
      </c>
      <c r="C300" s="14" t="e">
        <f>F300</f>
        <v>#N/A</v>
      </c>
      <c r="D300" s="13" t="e">
        <f>VLOOKUP(A300,data!A:D,4,FALSE)</f>
        <v>#N/A</v>
      </c>
      <c r="E300" s="13" t="e">
        <f>VLOOKUP(A300,data!A:E,5,FALSE)</f>
        <v>#N/A</v>
      </c>
      <c r="F300" s="15" t="e">
        <f>VLOOKUP(A300,LineItems!D:I,6,FALSE) / VLOOKUP(A300,LineItems!D:I,5,FALSE)</f>
        <v>#N/A</v>
      </c>
      <c r="G300" s="16" t="e">
        <f xml:space="preserve"> IF((VLOOKUP(A300,data!A:C,3,FALSE)-F300)=0,"No Change","Price Changed")</f>
        <v>#N/A</v>
      </c>
    </row>
    <row r="301" spans="2:7" x14ac:dyDescent="0.2">
      <c r="B301" s="13" t="e">
        <f>VLOOKUP(A301,LineItems!D:E,2,FALSE)</f>
        <v>#N/A</v>
      </c>
      <c r="C301" s="14" t="e">
        <f>F301</f>
        <v>#N/A</v>
      </c>
      <c r="D301" s="13" t="e">
        <f>VLOOKUP(A301,data!A:D,4,FALSE)</f>
        <v>#N/A</v>
      </c>
      <c r="E301" s="13" t="e">
        <f>VLOOKUP(A301,data!A:E,5,FALSE)</f>
        <v>#N/A</v>
      </c>
      <c r="F301" s="15" t="e">
        <f>VLOOKUP(A301,LineItems!D:I,6,FALSE) / VLOOKUP(A301,LineItems!D:I,5,FALSE)</f>
        <v>#N/A</v>
      </c>
      <c r="G301" s="16" t="e">
        <f xml:space="preserve"> IF((VLOOKUP(A301,data!A:C,3,FALSE)-F301)=0,"No Change","Price Changed")</f>
        <v>#N/A</v>
      </c>
    </row>
    <row r="302" spans="2:7" x14ac:dyDescent="0.2">
      <c r="B302" s="13" t="e">
        <f>VLOOKUP(A302,LineItems!D:E,2,FALSE)</f>
        <v>#N/A</v>
      </c>
      <c r="C302" s="14" t="e">
        <f>F302</f>
        <v>#N/A</v>
      </c>
      <c r="D302" s="13" t="e">
        <f>VLOOKUP(A302,data!A:D,4,FALSE)</f>
        <v>#N/A</v>
      </c>
      <c r="E302" s="13" t="e">
        <f>VLOOKUP(A302,data!A:E,5,FALSE)</f>
        <v>#N/A</v>
      </c>
      <c r="F302" s="15" t="e">
        <f>VLOOKUP(A302,LineItems!D:I,6,FALSE) / VLOOKUP(A302,LineItems!D:I,5,FALSE)</f>
        <v>#N/A</v>
      </c>
      <c r="G302" s="16" t="e">
        <f xml:space="preserve"> IF((VLOOKUP(A302,data!A:C,3,FALSE)-F302)=0,"No Change","Price Changed")</f>
        <v>#N/A</v>
      </c>
    </row>
    <row r="303" spans="2:7" x14ac:dyDescent="0.2">
      <c r="B303" s="13" t="e">
        <f>VLOOKUP(A303,LineItems!D:E,2,FALSE)</f>
        <v>#N/A</v>
      </c>
      <c r="C303" s="14" t="e">
        <f>F303</f>
        <v>#N/A</v>
      </c>
      <c r="D303" s="13" t="e">
        <f>VLOOKUP(A303,data!A:D,4,FALSE)</f>
        <v>#N/A</v>
      </c>
      <c r="E303" s="13" t="e">
        <f>VLOOKUP(A303,data!A:E,5,FALSE)</f>
        <v>#N/A</v>
      </c>
      <c r="F303" s="15" t="e">
        <f>VLOOKUP(A303,LineItems!D:I,6,FALSE) / VLOOKUP(A303,LineItems!D:I,5,FALSE)</f>
        <v>#N/A</v>
      </c>
      <c r="G303" s="16" t="e">
        <f xml:space="preserve"> IF((VLOOKUP(A303,data!A:C,3,FALSE)-F303)=0,"No Change","Price Changed")</f>
        <v>#N/A</v>
      </c>
    </row>
    <row r="304" spans="2:7" x14ac:dyDescent="0.2">
      <c r="B304" s="13" t="e">
        <f>VLOOKUP(A304,LineItems!D:E,2,FALSE)</f>
        <v>#N/A</v>
      </c>
      <c r="C304" s="14" t="e">
        <f>F304</f>
        <v>#N/A</v>
      </c>
      <c r="D304" s="13" t="e">
        <f>VLOOKUP(A304,data!A:D,4,FALSE)</f>
        <v>#N/A</v>
      </c>
      <c r="E304" s="13" t="e">
        <f>VLOOKUP(A304,data!A:E,5,FALSE)</f>
        <v>#N/A</v>
      </c>
      <c r="F304" s="15" t="e">
        <f>VLOOKUP(A304,LineItems!D:I,6,FALSE) / VLOOKUP(A304,LineItems!D:I,5,FALSE)</f>
        <v>#N/A</v>
      </c>
      <c r="G304" s="16" t="e">
        <f xml:space="preserve"> IF((VLOOKUP(A304,data!A:C,3,FALSE)-F304)=0,"No Change","Price Changed")</f>
        <v>#N/A</v>
      </c>
    </row>
    <row r="305" spans="2:7" x14ac:dyDescent="0.2">
      <c r="B305" s="13" t="e">
        <f>VLOOKUP(A305,LineItems!D:E,2,FALSE)</f>
        <v>#N/A</v>
      </c>
      <c r="C305" s="14" t="e">
        <f>F305</f>
        <v>#N/A</v>
      </c>
      <c r="D305" s="13" t="e">
        <f>VLOOKUP(A305,data!A:D,4,FALSE)</f>
        <v>#N/A</v>
      </c>
      <c r="E305" s="13" t="e">
        <f>VLOOKUP(A305,data!A:E,5,FALSE)</f>
        <v>#N/A</v>
      </c>
      <c r="F305" s="15" t="e">
        <f>VLOOKUP(A305,LineItems!D:I,6,FALSE) / VLOOKUP(A305,LineItems!D:I,5,FALSE)</f>
        <v>#N/A</v>
      </c>
      <c r="G305" s="16" t="e">
        <f xml:space="preserve"> IF((VLOOKUP(A305,data!A:C,3,FALSE)-F305)=0,"No Change","Price Changed")</f>
        <v>#N/A</v>
      </c>
    </row>
    <row r="306" spans="2:7" x14ac:dyDescent="0.2">
      <c r="B306" s="13" t="e">
        <f>VLOOKUP(A306,LineItems!D:E,2,FALSE)</f>
        <v>#N/A</v>
      </c>
      <c r="C306" s="14" t="e">
        <f>F306</f>
        <v>#N/A</v>
      </c>
      <c r="D306" s="13" t="e">
        <f>VLOOKUP(A306,data!A:D,4,FALSE)</f>
        <v>#N/A</v>
      </c>
      <c r="E306" s="13" t="e">
        <f>VLOOKUP(A306,data!A:E,5,FALSE)</f>
        <v>#N/A</v>
      </c>
      <c r="F306" s="15" t="e">
        <f>VLOOKUP(A306,LineItems!D:I,6,FALSE) / VLOOKUP(A306,LineItems!D:I,5,FALSE)</f>
        <v>#N/A</v>
      </c>
      <c r="G306" s="16" t="e">
        <f xml:space="preserve"> IF((VLOOKUP(A306,data!A:C,3,FALSE)-F306)=0,"No Change","Price Changed")</f>
        <v>#N/A</v>
      </c>
    </row>
    <row r="307" spans="2:7" x14ac:dyDescent="0.2">
      <c r="B307" s="13" t="e">
        <f>VLOOKUP(A307,LineItems!D:E,2,FALSE)</f>
        <v>#N/A</v>
      </c>
      <c r="C307" s="14" t="e">
        <f>F307</f>
        <v>#N/A</v>
      </c>
      <c r="D307" s="13" t="e">
        <f>VLOOKUP(A307,data!A:D,4,FALSE)</f>
        <v>#N/A</v>
      </c>
      <c r="E307" s="13" t="e">
        <f>VLOOKUP(A307,data!A:E,5,FALSE)</f>
        <v>#N/A</v>
      </c>
      <c r="F307" s="15" t="e">
        <f>VLOOKUP(A307,LineItems!D:I,6,FALSE) / VLOOKUP(A307,LineItems!D:I,5,FALSE)</f>
        <v>#N/A</v>
      </c>
      <c r="G307" s="16" t="e">
        <f xml:space="preserve"> IF((VLOOKUP(A307,data!A:C,3,FALSE)-F307)=0,"No Change","Price Changed")</f>
        <v>#N/A</v>
      </c>
    </row>
    <row r="308" spans="2:7" x14ac:dyDescent="0.2">
      <c r="B308" s="13" t="e">
        <f>VLOOKUP(A308,LineItems!D:E,2,FALSE)</f>
        <v>#N/A</v>
      </c>
      <c r="C308" s="14" t="e">
        <f>F308</f>
        <v>#N/A</v>
      </c>
      <c r="D308" s="13" t="e">
        <f>VLOOKUP(A308,data!A:D,4,FALSE)</f>
        <v>#N/A</v>
      </c>
      <c r="E308" s="13" t="e">
        <f>VLOOKUP(A308,data!A:E,5,FALSE)</f>
        <v>#N/A</v>
      </c>
      <c r="F308" s="15" t="e">
        <f>VLOOKUP(A308,LineItems!D:I,6,FALSE) / VLOOKUP(A308,LineItems!D:I,5,FALSE)</f>
        <v>#N/A</v>
      </c>
      <c r="G308" s="16" t="e">
        <f xml:space="preserve"> IF((VLOOKUP(A308,data!A:C,3,FALSE)-F308)=0,"No Change","Price Changed")</f>
        <v>#N/A</v>
      </c>
    </row>
    <row r="309" spans="2:7" x14ac:dyDescent="0.2">
      <c r="B309" s="13" t="e">
        <f>VLOOKUP(A309,LineItems!D:E,2,FALSE)</f>
        <v>#N/A</v>
      </c>
      <c r="C309" s="14" t="e">
        <f>F309</f>
        <v>#N/A</v>
      </c>
      <c r="D309" s="13" t="e">
        <f>VLOOKUP(A309,data!A:D,4,FALSE)</f>
        <v>#N/A</v>
      </c>
      <c r="E309" s="13" t="e">
        <f>VLOOKUP(A309,data!A:E,5,FALSE)</f>
        <v>#N/A</v>
      </c>
      <c r="F309" s="15" t="e">
        <f>VLOOKUP(A309,LineItems!D:I,6,FALSE) / VLOOKUP(A309,LineItems!D:I,5,FALSE)</f>
        <v>#N/A</v>
      </c>
      <c r="G309" s="16" t="e">
        <f xml:space="preserve"> IF((VLOOKUP(A309,data!A:C,3,FALSE)-F309)=0,"No Change","Price Changed")</f>
        <v>#N/A</v>
      </c>
    </row>
    <row r="310" spans="2:7" x14ac:dyDescent="0.2">
      <c r="B310" s="13" t="e">
        <f>VLOOKUP(A310,LineItems!D:E,2,FALSE)</f>
        <v>#N/A</v>
      </c>
      <c r="C310" s="14" t="e">
        <f>F310</f>
        <v>#N/A</v>
      </c>
      <c r="D310" s="13" t="e">
        <f>VLOOKUP(A310,data!A:D,4,FALSE)</f>
        <v>#N/A</v>
      </c>
      <c r="E310" s="13" t="e">
        <f>VLOOKUP(A310,data!A:E,5,FALSE)</f>
        <v>#N/A</v>
      </c>
      <c r="F310" s="15" t="e">
        <f>VLOOKUP(A310,LineItems!D:I,6,FALSE) / VLOOKUP(A310,LineItems!D:I,5,FALSE)</f>
        <v>#N/A</v>
      </c>
      <c r="G310" s="16" t="e">
        <f xml:space="preserve"> IF((VLOOKUP(A310,data!A:C,3,FALSE)-F310)=0,"No Change","Price Changed")</f>
        <v>#N/A</v>
      </c>
    </row>
    <row r="311" spans="2:7" x14ac:dyDescent="0.2">
      <c r="B311" s="13" t="e">
        <f>VLOOKUP(A311,LineItems!D:E,2,FALSE)</f>
        <v>#N/A</v>
      </c>
      <c r="C311" s="14" t="e">
        <f>F311</f>
        <v>#N/A</v>
      </c>
      <c r="D311" s="13" t="e">
        <f>VLOOKUP(A311,data!A:D,4,FALSE)</f>
        <v>#N/A</v>
      </c>
      <c r="E311" s="13" t="e">
        <f>VLOOKUP(A311,data!A:E,5,FALSE)</f>
        <v>#N/A</v>
      </c>
      <c r="F311" s="15" t="e">
        <f>VLOOKUP(A311,LineItems!D:I,6,FALSE) / VLOOKUP(A311,LineItems!D:I,5,FALSE)</f>
        <v>#N/A</v>
      </c>
      <c r="G311" s="16" t="e">
        <f xml:space="preserve"> IF((VLOOKUP(A311,data!A:C,3,FALSE)-F311)=0,"No Change","Price Changed")</f>
        <v>#N/A</v>
      </c>
    </row>
    <row r="312" spans="2:7" x14ac:dyDescent="0.2">
      <c r="B312" s="13" t="e">
        <f>VLOOKUP(A312,LineItems!D:E,2,FALSE)</f>
        <v>#N/A</v>
      </c>
      <c r="C312" s="14" t="e">
        <f>F312</f>
        <v>#N/A</v>
      </c>
      <c r="D312" s="13" t="e">
        <f>VLOOKUP(A312,data!A:D,4,FALSE)</f>
        <v>#N/A</v>
      </c>
      <c r="E312" s="13" t="e">
        <f>VLOOKUP(A312,data!A:E,5,FALSE)</f>
        <v>#N/A</v>
      </c>
      <c r="F312" s="15" t="e">
        <f>VLOOKUP(A312,LineItems!D:I,6,FALSE) / VLOOKUP(A312,LineItems!D:I,5,FALSE)</f>
        <v>#N/A</v>
      </c>
      <c r="G312" s="16" t="e">
        <f xml:space="preserve"> IF((VLOOKUP(A312,data!A:C,3,FALSE)-F312)=0,"No Change","Price Changed")</f>
        <v>#N/A</v>
      </c>
    </row>
    <row r="313" spans="2:7" x14ac:dyDescent="0.2">
      <c r="B313" s="13" t="e">
        <f>VLOOKUP(A313,LineItems!D:E,2,FALSE)</f>
        <v>#N/A</v>
      </c>
      <c r="C313" s="14" t="e">
        <f>F313</f>
        <v>#N/A</v>
      </c>
      <c r="D313" s="13" t="e">
        <f>VLOOKUP(A313,data!A:D,4,FALSE)</f>
        <v>#N/A</v>
      </c>
      <c r="E313" s="13" t="e">
        <f>VLOOKUP(A313,data!A:E,5,FALSE)</f>
        <v>#N/A</v>
      </c>
      <c r="F313" s="15" t="e">
        <f>VLOOKUP(A313,LineItems!D:I,6,FALSE) / VLOOKUP(A313,LineItems!D:I,5,FALSE)</f>
        <v>#N/A</v>
      </c>
      <c r="G313" s="16" t="e">
        <f xml:space="preserve"> IF((VLOOKUP(A313,data!A:C,3,FALSE)-F313)=0,"No Change","Price Changed")</f>
        <v>#N/A</v>
      </c>
    </row>
    <row r="314" spans="2:7" x14ac:dyDescent="0.2">
      <c r="B314" s="13" t="e">
        <f>VLOOKUP(A314,LineItems!D:E,2,FALSE)</f>
        <v>#N/A</v>
      </c>
      <c r="C314" s="14" t="e">
        <f>F314</f>
        <v>#N/A</v>
      </c>
      <c r="D314" s="13" t="e">
        <f>VLOOKUP(A314,data!A:D,4,FALSE)</f>
        <v>#N/A</v>
      </c>
      <c r="E314" s="13" t="e">
        <f>VLOOKUP(A314,data!A:E,5,FALSE)</f>
        <v>#N/A</v>
      </c>
      <c r="F314" s="15" t="e">
        <f>VLOOKUP(A314,LineItems!D:I,6,FALSE) / VLOOKUP(A314,LineItems!D:I,5,FALSE)</f>
        <v>#N/A</v>
      </c>
      <c r="G314" s="16" t="e">
        <f xml:space="preserve"> IF((VLOOKUP(A314,data!A:C,3,FALSE)-F314)=0,"No Change","Price Changed")</f>
        <v>#N/A</v>
      </c>
    </row>
    <row r="315" spans="2:7" x14ac:dyDescent="0.2">
      <c r="B315" s="13" t="e">
        <f>VLOOKUP(A315,LineItems!D:E,2,FALSE)</f>
        <v>#N/A</v>
      </c>
      <c r="C315" s="14" t="e">
        <f>F315</f>
        <v>#N/A</v>
      </c>
      <c r="D315" s="13" t="e">
        <f>VLOOKUP(A315,data!A:D,4,FALSE)</f>
        <v>#N/A</v>
      </c>
      <c r="E315" s="13" t="e">
        <f>VLOOKUP(A315,data!A:E,5,FALSE)</f>
        <v>#N/A</v>
      </c>
      <c r="F315" s="15" t="e">
        <f>VLOOKUP(A315,LineItems!D:I,6,FALSE) / VLOOKUP(A315,LineItems!D:I,5,FALSE)</f>
        <v>#N/A</v>
      </c>
      <c r="G315" s="16" t="e">
        <f xml:space="preserve"> IF((VLOOKUP(A315,data!A:C,3,FALSE)-F315)=0,"No Change","Price Changed")</f>
        <v>#N/A</v>
      </c>
    </row>
    <row r="316" spans="2:7" x14ac:dyDescent="0.2">
      <c r="B316" s="13" t="e">
        <f>VLOOKUP(A316,LineItems!D:E,2,FALSE)</f>
        <v>#N/A</v>
      </c>
      <c r="C316" s="14" t="e">
        <f>F316</f>
        <v>#N/A</v>
      </c>
      <c r="D316" s="13" t="e">
        <f>VLOOKUP(A316,data!A:D,4,FALSE)</f>
        <v>#N/A</v>
      </c>
      <c r="E316" s="13" t="e">
        <f>VLOOKUP(A316,data!A:E,5,FALSE)</f>
        <v>#N/A</v>
      </c>
      <c r="F316" s="15" t="e">
        <f>VLOOKUP(A316,LineItems!D:I,6,FALSE) / VLOOKUP(A316,LineItems!D:I,5,FALSE)</f>
        <v>#N/A</v>
      </c>
      <c r="G316" s="16" t="e">
        <f xml:space="preserve"> IF((VLOOKUP(A316,data!A:C,3,FALSE)-F316)=0,"No Change","Price Changed")</f>
        <v>#N/A</v>
      </c>
    </row>
    <row r="317" spans="2:7" x14ac:dyDescent="0.2">
      <c r="B317" s="13" t="e">
        <f>VLOOKUP(A317,LineItems!D:E,2,FALSE)</f>
        <v>#N/A</v>
      </c>
      <c r="C317" s="14" t="e">
        <f>F317</f>
        <v>#N/A</v>
      </c>
      <c r="D317" s="13" t="e">
        <f>VLOOKUP(A317,data!A:D,4,FALSE)</f>
        <v>#N/A</v>
      </c>
      <c r="E317" s="13" t="e">
        <f>VLOOKUP(A317,data!A:E,5,FALSE)</f>
        <v>#N/A</v>
      </c>
      <c r="F317" s="15" t="e">
        <f>VLOOKUP(A317,LineItems!D:I,6,FALSE) / VLOOKUP(A317,LineItems!D:I,5,FALSE)</f>
        <v>#N/A</v>
      </c>
      <c r="G317" s="16" t="e">
        <f xml:space="preserve"> IF((VLOOKUP(A317,data!A:C,3,FALSE)-F317)=0,"No Change","Price Changed")</f>
        <v>#N/A</v>
      </c>
    </row>
    <row r="318" spans="2:7" x14ac:dyDescent="0.2">
      <c r="B318" s="13" t="e">
        <f>VLOOKUP(A318,LineItems!D:E,2,FALSE)</f>
        <v>#N/A</v>
      </c>
      <c r="C318" s="14" t="e">
        <f>F318</f>
        <v>#N/A</v>
      </c>
      <c r="D318" s="13" t="e">
        <f>VLOOKUP(A318,data!A:D,4,FALSE)</f>
        <v>#N/A</v>
      </c>
      <c r="E318" s="13" t="e">
        <f>VLOOKUP(A318,data!A:E,5,FALSE)</f>
        <v>#N/A</v>
      </c>
      <c r="F318" s="15" t="e">
        <f>VLOOKUP(A318,LineItems!D:I,6,FALSE) / VLOOKUP(A318,LineItems!D:I,5,FALSE)</f>
        <v>#N/A</v>
      </c>
      <c r="G318" s="16" t="e">
        <f xml:space="preserve"> IF((VLOOKUP(A318,data!A:C,3,FALSE)-F318)=0,"No Change","Price Changed")</f>
        <v>#N/A</v>
      </c>
    </row>
    <row r="319" spans="2:7" x14ac:dyDescent="0.2">
      <c r="B319" s="13" t="e">
        <f>VLOOKUP(A319,LineItems!D:E,2,FALSE)</f>
        <v>#N/A</v>
      </c>
      <c r="C319" s="14" t="e">
        <f>F319</f>
        <v>#N/A</v>
      </c>
      <c r="D319" s="13" t="e">
        <f>VLOOKUP(A319,data!A:D,4,FALSE)</f>
        <v>#N/A</v>
      </c>
      <c r="E319" s="13" t="e">
        <f>VLOOKUP(A319,data!A:E,5,FALSE)</f>
        <v>#N/A</v>
      </c>
      <c r="F319" s="15" t="e">
        <f>VLOOKUP(A319,LineItems!D:I,6,FALSE) / VLOOKUP(A319,LineItems!D:I,5,FALSE)</f>
        <v>#N/A</v>
      </c>
      <c r="G319" s="16" t="e">
        <f xml:space="preserve"> IF((VLOOKUP(A319,data!A:C,3,FALSE)-F319)=0,"No Change","Price Changed")</f>
        <v>#N/A</v>
      </c>
    </row>
    <row r="320" spans="2:7" x14ac:dyDescent="0.2">
      <c r="B320" s="13" t="e">
        <f>VLOOKUP(A320,LineItems!D:E,2,FALSE)</f>
        <v>#N/A</v>
      </c>
      <c r="C320" s="14" t="e">
        <f>F320</f>
        <v>#N/A</v>
      </c>
      <c r="D320" s="13" t="e">
        <f>VLOOKUP(A320,data!A:D,4,FALSE)</f>
        <v>#N/A</v>
      </c>
      <c r="E320" s="13" t="e">
        <f>VLOOKUP(A320,data!A:E,5,FALSE)</f>
        <v>#N/A</v>
      </c>
      <c r="F320" s="15" t="e">
        <f>VLOOKUP(A320,LineItems!D:I,6,FALSE) / VLOOKUP(A320,LineItems!D:I,5,FALSE)</f>
        <v>#N/A</v>
      </c>
      <c r="G320" s="16" t="e">
        <f xml:space="preserve"> IF((VLOOKUP(A320,data!A:C,3,FALSE)-F320)=0,"No Change","Price Changed")</f>
        <v>#N/A</v>
      </c>
    </row>
    <row r="321" spans="2:7" x14ac:dyDescent="0.2">
      <c r="B321" s="13" t="e">
        <f>VLOOKUP(A321,LineItems!D:E,2,FALSE)</f>
        <v>#N/A</v>
      </c>
      <c r="C321" s="14" t="e">
        <f>F321</f>
        <v>#N/A</v>
      </c>
      <c r="D321" s="13" t="e">
        <f>VLOOKUP(A321,data!A:D,4,FALSE)</f>
        <v>#N/A</v>
      </c>
      <c r="E321" s="13" t="e">
        <f>VLOOKUP(A321,data!A:E,5,FALSE)</f>
        <v>#N/A</v>
      </c>
      <c r="F321" s="15" t="e">
        <f>VLOOKUP(A321,LineItems!D:I,6,FALSE) / VLOOKUP(A321,LineItems!D:I,5,FALSE)</f>
        <v>#N/A</v>
      </c>
      <c r="G321" s="16" t="e">
        <f xml:space="preserve"> IF((VLOOKUP(A321,data!A:C,3,FALSE)-F321)=0,"No Change","Price Changed")</f>
        <v>#N/A</v>
      </c>
    </row>
    <row r="322" spans="2:7" x14ac:dyDescent="0.2">
      <c r="B322" s="13" t="e">
        <f>VLOOKUP(A322,LineItems!D:E,2,FALSE)</f>
        <v>#N/A</v>
      </c>
      <c r="C322" s="14" t="e">
        <f>F322</f>
        <v>#N/A</v>
      </c>
      <c r="D322" s="13" t="e">
        <f>VLOOKUP(A322,data!A:D,4,FALSE)</f>
        <v>#N/A</v>
      </c>
      <c r="E322" s="13" t="e">
        <f>VLOOKUP(A322,data!A:E,5,FALSE)</f>
        <v>#N/A</v>
      </c>
      <c r="F322" s="15" t="e">
        <f>VLOOKUP(A322,LineItems!D:I,6,FALSE) / VLOOKUP(A322,LineItems!D:I,5,FALSE)</f>
        <v>#N/A</v>
      </c>
      <c r="G322" s="16" t="e">
        <f xml:space="preserve"> IF((VLOOKUP(A322,data!A:C,3,FALSE)-F322)=0,"No Change","Price Changed")</f>
        <v>#N/A</v>
      </c>
    </row>
    <row r="323" spans="2:7" x14ac:dyDescent="0.2">
      <c r="B323" s="13" t="e">
        <f>VLOOKUP(A323,LineItems!D:E,2,FALSE)</f>
        <v>#N/A</v>
      </c>
      <c r="C323" s="14" t="e">
        <f>F323</f>
        <v>#N/A</v>
      </c>
      <c r="D323" s="13" t="e">
        <f>VLOOKUP(A323,data!A:D,4,FALSE)</f>
        <v>#N/A</v>
      </c>
      <c r="E323" s="13" t="e">
        <f>VLOOKUP(A323,data!A:E,5,FALSE)</f>
        <v>#N/A</v>
      </c>
      <c r="F323" s="15" t="e">
        <f>VLOOKUP(A323,LineItems!D:I,6,FALSE) / VLOOKUP(A323,LineItems!D:I,5,FALSE)</f>
        <v>#N/A</v>
      </c>
      <c r="G323" s="16" t="e">
        <f xml:space="preserve"> IF((VLOOKUP(A323,data!A:C,3,FALSE)-F323)=0,"No Change","Price Changed")</f>
        <v>#N/A</v>
      </c>
    </row>
    <row r="324" spans="2:7" x14ac:dyDescent="0.2">
      <c r="B324" s="13" t="e">
        <f>VLOOKUP(A324,LineItems!D:E,2,FALSE)</f>
        <v>#N/A</v>
      </c>
      <c r="C324" s="14" t="e">
        <f>F324</f>
        <v>#N/A</v>
      </c>
      <c r="D324" s="13" t="e">
        <f>VLOOKUP(A324,data!A:D,4,FALSE)</f>
        <v>#N/A</v>
      </c>
      <c r="E324" s="13" t="e">
        <f>VLOOKUP(A324,data!A:E,5,FALSE)</f>
        <v>#N/A</v>
      </c>
      <c r="F324" s="15" t="e">
        <f>VLOOKUP(A324,LineItems!D:I,6,FALSE) / VLOOKUP(A324,LineItems!D:I,5,FALSE)</f>
        <v>#N/A</v>
      </c>
      <c r="G324" s="16" t="e">
        <f xml:space="preserve"> IF((VLOOKUP(A324,data!A:C,3,FALSE)-F324)=0,"No Change","Price Changed")</f>
        <v>#N/A</v>
      </c>
    </row>
    <row r="325" spans="2:7" x14ac:dyDescent="0.2">
      <c r="B325" s="13" t="e">
        <f>VLOOKUP(A325,LineItems!D:E,2,FALSE)</f>
        <v>#N/A</v>
      </c>
      <c r="C325" s="14" t="e">
        <f>F325</f>
        <v>#N/A</v>
      </c>
      <c r="D325" s="13" t="e">
        <f>VLOOKUP(A325,data!A:D,4,FALSE)</f>
        <v>#N/A</v>
      </c>
      <c r="E325" s="13" t="e">
        <f>VLOOKUP(A325,data!A:E,5,FALSE)</f>
        <v>#N/A</v>
      </c>
      <c r="F325" s="15" t="e">
        <f>VLOOKUP(A325,LineItems!D:I,6,FALSE) / VLOOKUP(A325,LineItems!D:I,5,FALSE)</f>
        <v>#N/A</v>
      </c>
      <c r="G325" s="16" t="e">
        <f xml:space="preserve"> IF((VLOOKUP(A325,data!A:C,3,FALSE)-F325)=0,"No Change","Price Changed")</f>
        <v>#N/A</v>
      </c>
    </row>
    <row r="326" spans="2:7" x14ac:dyDescent="0.2">
      <c r="B326" s="13" t="e">
        <f>VLOOKUP(A326,LineItems!D:E,2,FALSE)</f>
        <v>#N/A</v>
      </c>
      <c r="C326" s="14" t="e">
        <f>F326</f>
        <v>#N/A</v>
      </c>
      <c r="D326" s="13" t="e">
        <f>VLOOKUP(A326,data!A:D,4,FALSE)</f>
        <v>#N/A</v>
      </c>
      <c r="E326" s="13" t="e">
        <f>VLOOKUP(A326,data!A:E,5,FALSE)</f>
        <v>#N/A</v>
      </c>
      <c r="F326" s="15" t="e">
        <f>VLOOKUP(A326,LineItems!D:I,6,FALSE) / VLOOKUP(A326,LineItems!D:I,5,FALSE)</f>
        <v>#N/A</v>
      </c>
      <c r="G326" s="16" t="e">
        <f xml:space="preserve"> IF((VLOOKUP(A326,data!A:C,3,FALSE)-F326)=0,"No Change","Price Changed")</f>
        <v>#N/A</v>
      </c>
    </row>
    <row r="327" spans="2:7" x14ac:dyDescent="0.2">
      <c r="B327" s="13" t="e">
        <f>VLOOKUP(A327,LineItems!D:E,2,FALSE)</f>
        <v>#N/A</v>
      </c>
      <c r="C327" s="14" t="e">
        <f>F327</f>
        <v>#N/A</v>
      </c>
      <c r="D327" s="13" t="e">
        <f>VLOOKUP(A327,data!A:D,4,FALSE)</f>
        <v>#N/A</v>
      </c>
      <c r="E327" s="13" t="e">
        <f>VLOOKUP(A327,data!A:E,5,FALSE)</f>
        <v>#N/A</v>
      </c>
      <c r="F327" s="15" t="e">
        <f>VLOOKUP(A327,LineItems!D:I,6,FALSE) / VLOOKUP(A327,LineItems!D:I,5,FALSE)</f>
        <v>#N/A</v>
      </c>
      <c r="G327" s="16" t="e">
        <f xml:space="preserve"> IF((VLOOKUP(A327,data!A:C,3,FALSE)-F327)=0,"No Change","Price Changed")</f>
        <v>#N/A</v>
      </c>
    </row>
    <row r="328" spans="2:7" x14ac:dyDescent="0.2">
      <c r="B328" s="13" t="e">
        <f>VLOOKUP(A328,LineItems!D:E,2,FALSE)</f>
        <v>#N/A</v>
      </c>
      <c r="C328" s="14" t="e">
        <f>F328</f>
        <v>#N/A</v>
      </c>
      <c r="D328" s="13" t="e">
        <f>VLOOKUP(A328,data!A:D,4,FALSE)</f>
        <v>#N/A</v>
      </c>
      <c r="E328" s="13" t="e">
        <f>VLOOKUP(A328,data!A:E,5,FALSE)</f>
        <v>#N/A</v>
      </c>
      <c r="F328" s="15" t="e">
        <f>VLOOKUP(A328,LineItems!D:I,6,FALSE) / VLOOKUP(A328,LineItems!D:I,5,FALSE)</f>
        <v>#N/A</v>
      </c>
      <c r="G328" s="16" t="e">
        <f xml:space="preserve"> IF((VLOOKUP(A328,data!A:C,3,FALSE)-F328)=0,"No Change","Price Changed")</f>
        <v>#N/A</v>
      </c>
    </row>
    <row r="329" spans="2:7" x14ac:dyDescent="0.2">
      <c r="B329" s="13" t="e">
        <f>VLOOKUP(A329,LineItems!D:E,2,FALSE)</f>
        <v>#N/A</v>
      </c>
      <c r="C329" s="14" t="e">
        <f>F329</f>
        <v>#N/A</v>
      </c>
      <c r="D329" s="13" t="e">
        <f>VLOOKUP(A329,data!A:D,4,FALSE)</f>
        <v>#N/A</v>
      </c>
      <c r="E329" s="13" t="e">
        <f>VLOOKUP(A329,data!A:E,5,FALSE)</f>
        <v>#N/A</v>
      </c>
      <c r="F329" s="15" t="e">
        <f>VLOOKUP(A329,LineItems!D:I,6,FALSE) / VLOOKUP(A329,LineItems!D:I,5,FALSE)</f>
        <v>#N/A</v>
      </c>
      <c r="G329" s="16" t="e">
        <f xml:space="preserve"> IF((VLOOKUP(A329,data!A:C,3,FALSE)-F329)=0,"No Change","Price Changed")</f>
        <v>#N/A</v>
      </c>
    </row>
    <row r="330" spans="2:7" x14ac:dyDescent="0.2">
      <c r="B330" s="13" t="e">
        <f>VLOOKUP(A330,LineItems!D:E,2,FALSE)</f>
        <v>#N/A</v>
      </c>
      <c r="C330" s="14" t="e">
        <f>F330</f>
        <v>#N/A</v>
      </c>
      <c r="D330" s="13" t="e">
        <f>VLOOKUP(A330,data!A:D,4,FALSE)</f>
        <v>#N/A</v>
      </c>
      <c r="E330" s="13" t="e">
        <f>VLOOKUP(A330,data!A:E,5,FALSE)</f>
        <v>#N/A</v>
      </c>
      <c r="F330" s="15" t="e">
        <f>VLOOKUP(A330,LineItems!D:I,6,FALSE) / VLOOKUP(A330,LineItems!D:I,5,FALSE)</f>
        <v>#N/A</v>
      </c>
      <c r="G330" s="16" t="e">
        <f xml:space="preserve"> IF((VLOOKUP(A330,data!A:C,3,FALSE)-F330)=0,"No Change","Price Changed")</f>
        <v>#N/A</v>
      </c>
    </row>
    <row r="331" spans="2:7" x14ac:dyDescent="0.2">
      <c r="B331" s="13" t="e">
        <f>VLOOKUP(A331,LineItems!D:E,2,FALSE)</f>
        <v>#N/A</v>
      </c>
      <c r="C331" s="14" t="e">
        <f>F331</f>
        <v>#N/A</v>
      </c>
      <c r="D331" s="13" t="e">
        <f>VLOOKUP(A331,data!A:D,4,FALSE)</f>
        <v>#N/A</v>
      </c>
      <c r="E331" s="13" t="e">
        <f>VLOOKUP(A331,data!A:E,5,FALSE)</f>
        <v>#N/A</v>
      </c>
      <c r="F331" s="15" t="e">
        <f>VLOOKUP(A331,LineItems!D:I,6,FALSE) / VLOOKUP(A331,LineItems!D:I,5,FALSE)</f>
        <v>#N/A</v>
      </c>
      <c r="G331" s="16" t="e">
        <f xml:space="preserve"> IF((VLOOKUP(A331,data!A:C,3,FALSE)-F331)=0,"No Change","Price Changed")</f>
        <v>#N/A</v>
      </c>
    </row>
    <row r="332" spans="2:7" x14ac:dyDescent="0.2">
      <c r="B332" s="13" t="e">
        <f>VLOOKUP(A332,LineItems!D:E,2,FALSE)</f>
        <v>#N/A</v>
      </c>
      <c r="C332" s="14" t="e">
        <f>F332</f>
        <v>#N/A</v>
      </c>
      <c r="D332" s="13" t="e">
        <f>VLOOKUP(A332,data!A:D,4,FALSE)</f>
        <v>#N/A</v>
      </c>
      <c r="E332" s="13" t="e">
        <f>VLOOKUP(A332,data!A:E,5,FALSE)</f>
        <v>#N/A</v>
      </c>
      <c r="F332" s="15" t="e">
        <f>VLOOKUP(A332,LineItems!D:I,6,FALSE) / VLOOKUP(A332,LineItems!D:I,5,FALSE)</f>
        <v>#N/A</v>
      </c>
      <c r="G332" s="16" t="e">
        <f xml:space="preserve"> IF((VLOOKUP(A332,data!A:C,3,FALSE)-F332)=0,"No Change","Price Changed")</f>
        <v>#N/A</v>
      </c>
    </row>
    <row r="333" spans="2:7" x14ac:dyDescent="0.2">
      <c r="B333" s="13" t="e">
        <f>VLOOKUP(A333,LineItems!D:E,2,FALSE)</f>
        <v>#N/A</v>
      </c>
      <c r="C333" s="14" t="e">
        <f>F333</f>
        <v>#N/A</v>
      </c>
      <c r="D333" s="13" t="e">
        <f>VLOOKUP(A333,data!A:D,4,FALSE)</f>
        <v>#N/A</v>
      </c>
      <c r="E333" s="13" t="e">
        <f>VLOOKUP(A333,data!A:E,5,FALSE)</f>
        <v>#N/A</v>
      </c>
      <c r="F333" s="15" t="e">
        <f>VLOOKUP(A333,LineItems!D:I,6,FALSE) / VLOOKUP(A333,LineItems!D:I,5,FALSE)</f>
        <v>#N/A</v>
      </c>
      <c r="G333" s="16" t="e">
        <f xml:space="preserve"> IF((VLOOKUP(A333,data!A:C,3,FALSE)-F333)=0,"No Change","Price Changed")</f>
        <v>#N/A</v>
      </c>
    </row>
    <row r="334" spans="2:7" x14ac:dyDescent="0.2">
      <c r="B334" s="13" t="e">
        <f>VLOOKUP(A334,LineItems!D:E,2,FALSE)</f>
        <v>#N/A</v>
      </c>
      <c r="C334" s="14" t="e">
        <f>F334</f>
        <v>#N/A</v>
      </c>
      <c r="D334" s="13" t="e">
        <f>VLOOKUP(A334,data!A:D,4,FALSE)</f>
        <v>#N/A</v>
      </c>
      <c r="E334" s="13" t="e">
        <f>VLOOKUP(A334,data!A:E,5,FALSE)</f>
        <v>#N/A</v>
      </c>
      <c r="F334" s="15" t="e">
        <f>VLOOKUP(A334,LineItems!D:I,6,FALSE) / VLOOKUP(A334,LineItems!D:I,5,FALSE)</f>
        <v>#N/A</v>
      </c>
      <c r="G334" s="16" t="e">
        <f xml:space="preserve"> IF((VLOOKUP(A334,data!A:C,3,FALSE)-F334)=0,"No Change","Price Changed")</f>
        <v>#N/A</v>
      </c>
    </row>
    <row r="335" spans="2:7" x14ac:dyDescent="0.2">
      <c r="B335" s="13" t="e">
        <f>VLOOKUP(A335,LineItems!D:E,2,FALSE)</f>
        <v>#N/A</v>
      </c>
      <c r="C335" s="14" t="e">
        <f>F335</f>
        <v>#N/A</v>
      </c>
      <c r="D335" s="13" t="e">
        <f>VLOOKUP(A335,data!A:D,4,FALSE)</f>
        <v>#N/A</v>
      </c>
      <c r="E335" s="13" t="e">
        <f>VLOOKUP(A335,data!A:E,5,FALSE)</f>
        <v>#N/A</v>
      </c>
      <c r="F335" s="15" t="e">
        <f>VLOOKUP(A335,LineItems!D:I,6,FALSE) / VLOOKUP(A335,LineItems!D:I,5,FALSE)</f>
        <v>#N/A</v>
      </c>
      <c r="G335" s="16" t="e">
        <f xml:space="preserve"> IF((VLOOKUP(A335,data!A:C,3,FALSE)-F335)=0,"No Change","Price Changed")</f>
        <v>#N/A</v>
      </c>
    </row>
    <row r="336" spans="2:7" x14ac:dyDescent="0.2">
      <c r="B336" s="13" t="e">
        <f>VLOOKUP(A336,LineItems!D:E,2,FALSE)</f>
        <v>#N/A</v>
      </c>
      <c r="C336" s="14" t="e">
        <f>F336</f>
        <v>#N/A</v>
      </c>
      <c r="D336" s="13" t="e">
        <f>VLOOKUP(A336,data!A:D,4,FALSE)</f>
        <v>#N/A</v>
      </c>
      <c r="E336" s="13" t="e">
        <f>VLOOKUP(A336,data!A:E,5,FALSE)</f>
        <v>#N/A</v>
      </c>
      <c r="F336" s="15" t="e">
        <f>VLOOKUP(A336,LineItems!D:I,6,FALSE) / VLOOKUP(A336,LineItems!D:I,5,FALSE)</f>
        <v>#N/A</v>
      </c>
      <c r="G336" s="16" t="e">
        <f xml:space="preserve"> IF((VLOOKUP(A336,data!A:C,3,FALSE)-F336)=0,"No Change","Price Changed")</f>
        <v>#N/A</v>
      </c>
    </row>
    <row r="337" spans="2:7" x14ac:dyDescent="0.2">
      <c r="B337" s="13" t="e">
        <f>VLOOKUP(A337,LineItems!D:E,2,FALSE)</f>
        <v>#N/A</v>
      </c>
      <c r="C337" s="14" t="e">
        <f>F337</f>
        <v>#N/A</v>
      </c>
      <c r="D337" s="13" t="e">
        <f>VLOOKUP(A337,data!A:D,4,FALSE)</f>
        <v>#N/A</v>
      </c>
      <c r="E337" s="13" t="e">
        <f>VLOOKUP(A337,data!A:E,5,FALSE)</f>
        <v>#N/A</v>
      </c>
      <c r="F337" s="15" t="e">
        <f>VLOOKUP(A337,LineItems!D:I,6,FALSE) / VLOOKUP(A337,LineItems!D:I,5,FALSE)</f>
        <v>#N/A</v>
      </c>
      <c r="G337" s="16" t="e">
        <f xml:space="preserve"> IF((VLOOKUP(A337,data!A:C,3,FALSE)-F337)=0,"No Change","Price Changed")</f>
        <v>#N/A</v>
      </c>
    </row>
    <row r="338" spans="2:7" x14ac:dyDescent="0.2">
      <c r="B338" s="13" t="e">
        <f>VLOOKUP(A338,LineItems!D:E,2,FALSE)</f>
        <v>#N/A</v>
      </c>
      <c r="C338" s="14" t="e">
        <f>F338</f>
        <v>#N/A</v>
      </c>
      <c r="D338" s="13" t="e">
        <f>VLOOKUP(A338,data!A:D,4,FALSE)</f>
        <v>#N/A</v>
      </c>
      <c r="E338" s="13" t="e">
        <f>VLOOKUP(A338,data!A:E,5,FALSE)</f>
        <v>#N/A</v>
      </c>
      <c r="F338" s="15" t="e">
        <f>VLOOKUP(A338,LineItems!D:I,6,FALSE) / VLOOKUP(A338,LineItems!D:I,5,FALSE)</f>
        <v>#N/A</v>
      </c>
      <c r="G338" s="16" t="e">
        <f xml:space="preserve"> IF((VLOOKUP(A338,data!A:C,3,FALSE)-F338)=0,"No Change","Price Changed")</f>
        <v>#N/A</v>
      </c>
    </row>
    <row r="339" spans="2:7" x14ac:dyDescent="0.2">
      <c r="B339" s="13" t="e">
        <f>VLOOKUP(A339,LineItems!D:E,2,FALSE)</f>
        <v>#N/A</v>
      </c>
      <c r="C339" s="14" t="e">
        <f>F339</f>
        <v>#N/A</v>
      </c>
      <c r="D339" s="13" t="e">
        <f>VLOOKUP(A339,data!A:D,4,FALSE)</f>
        <v>#N/A</v>
      </c>
      <c r="E339" s="13" t="e">
        <f>VLOOKUP(A339,data!A:E,5,FALSE)</f>
        <v>#N/A</v>
      </c>
      <c r="F339" s="15" t="e">
        <f>VLOOKUP(A339,LineItems!D:I,6,FALSE) / VLOOKUP(A339,LineItems!D:I,5,FALSE)</f>
        <v>#N/A</v>
      </c>
      <c r="G339" s="16" t="e">
        <f xml:space="preserve"> IF((VLOOKUP(A339,data!A:C,3,FALSE)-F339)=0,"No Change","Price Changed")</f>
        <v>#N/A</v>
      </c>
    </row>
    <row r="340" spans="2:7" x14ac:dyDescent="0.2">
      <c r="B340" s="13" t="e">
        <f>VLOOKUP(A340,LineItems!D:E,2,FALSE)</f>
        <v>#N/A</v>
      </c>
      <c r="C340" s="14" t="e">
        <f>F340</f>
        <v>#N/A</v>
      </c>
      <c r="D340" s="13" t="e">
        <f>VLOOKUP(A340,data!A:D,4,FALSE)</f>
        <v>#N/A</v>
      </c>
      <c r="E340" s="13" t="e">
        <f>VLOOKUP(A340,data!A:E,5,FALSE)</f>
        <v>#N/A</v>
      </c>
      <c r="F340" s="15" t="e">
        <f>VLOOKUP(A340,LineItems!D:I,6,FALSE) / VLOOKUP(A340,LineItems!D:I,5,FALSE)</f>
        <v>#N/A</v>
      </c>
      <c r="G340" s="16" t="e">
        <f xml:space="preserve"> IF((VLOOKUP(A340,data!A:C,3,FALSE)-F340)=0,"No Change","Price Changed")</f>
        <v>#N/A</v>
      </c>
    </row>
    <row r="341" spans="2:7" x14ac:dyDescent="0.2">
      <c r="B341" s="13" t="e">
        <f>VLOOKUP(A341,LineItems!D:E,2,FALSE)</f>
        <v>#N/A</v>
      </c>
      <c r="C341" s="14" t="e">
        <f>F341</f>
        <v>#N/A</v>
      </c>
      <c r="D341" s="13" t="e">
        <f>VLOOKUP(A341,data!A:D,4,FALSE)</f>
        <v>#N/A</v>
      </c>
      <c r="E341" s="13" t="e">
        <f>VLOOKUP(A341,data!A:E,5,FALSE)</f>
        <v>#N/A</v>
      </c>
      <c r="F341" s="15" t="e">
        <f>VLOOKUP(A341,LineItems!D:I,6,FALSE) / VLOOKUP(A341,LineItems!D:I,5,FALSE)</f>
        <v>#N/A</v>
      </c>
      <c r="G341" s="16" t="e">
        <f xml:space="preserve"> IF((VLOOKUP(A341,data!A:C,3,FALSE)-F341)=0,"No Change","Price Changed")</f>
        <v>#N/A</v>
      </c>
    </row>
    <row r="342" spans="2:7" x14ac:dyDescent="0.2">
      <c r="B342" s="13" t="e">
        <f>VLOOKUP(A342,LineItems!D:E,2,FALSE)</f>
        <v>#N/A</v>
      </c>
      <c r="C342" s="14" t="e">
        <f>F342</f>
        <v>#N/A</v>
      </c>
      <c r="D342" s="13" t="e">
        <f>VLOOKUP(A342,data!A:D,4,FALSE)</f>
        <v>#N/A</v>
      </c>
      <c r="E342" s="13" t="e">
        <f>VLOOKUP(A342,data!A:E,5,FALSE)</f>
        <v>#N/A</v>
      </c>
      <c r="F342" s="15" t="e">
        <f>VLOOKUP(A342,LineItems!D:I,6,FALSE) / VLOOKUP(A342,LineItems!D:I,5,FALSE)</f>
        <v>#N/A</v>
      </c>
      <c r="G342" s="16" t="e">
        <f xml:space="preserve"> IF((VLOOKUP(A342,data!A:C,3,FALSE)-F342)=0,"No Change","Price Changed")</f>
        <v>#N/A</v>
      </c>
    </row>
    <row r="343" spans="2:7" x14ac:dyDescent="0.2">
      <c r="B343" s="13" t="e">
        <f>VLOOKUP(A343,LineItems!D:E,2,FALSE)</f>
        <v>#N/A</v>
      </c>
      <c r="C343" s="14" t="e">
        <f>F343</f>
        <v>#N/A</v>
      </c>
      <c r="D343" s="13" t="e">
        <f>VLOOKUP(A343,data!A:D,4,FALSE)</f>
        <v>#N/A</v>
      </c>
      <c r="E343" s="13" t="e">
        <f>VLOOKUP(A343,data!A:E,5,FALSE)</f>
        <v>#N/A</v>
      </c>
      <c r="F343" s="15" t="e">
        <f>VLOOKUP(A343,LineItems!D:I,6,FALSE) / VLOOKUP(A343,LineItems!D:I,5,FALSE)</f>
        <v>#N/A</v>
      </c>
      <c r="G343" s="16" t="e">
        <f xml:space="preserve"> IF((VLOOKUP(A343,data!A:C,3,FALSE)-F343)=0,"No Change","Price Changed")</f>
        <v>#N/A</v>
      </c>
    </row>
    <row r="344" spans="2:7" x14ac:dyDescent="0.2">
      <c r="B344" s="13" t="e">
        <f>VLOOKUP(A344,LineItems!D:E,2,FALSE)</f>
        <v>#N/A</v>
      </c>
      <c r="C344" s="14" t="e">
        <f>F344</f>
        <v>#N/A</v>
      </c>
      <c r="D344" s="13" t="e">
        <f>VLOOKUP(A344,data!A:D,4,FALSE)</f>
        <v>#N/A</v>
      </c>
      <c r="E344" s="13" t="e">
        <f>VLOOKUP(A344,data!A:E,5,FALSE)</f>
        <v>#N/A</v>
      </c>
      <c r="F344" s="15" t="e">
        <f>VLOOKUP(A344,LineItems!D:I,6,FALSE) / VLOOKUP(A344,LineItems!D:I,5,FALSE)</f>
        <v>#N/A</v>
      </c>
      <c r="G344" s="16" t="e">
        <f xml:space="preserve"> IF((VLOOKUP(A344,data!A:C,3,FALSE)-F344)=0,"No Change","Price Changed")</f>
        <v>#N/A</v>
      </c>
    </row>
    <row r="345" spans="2:7" x14ac:dyDescent="0.2">
      <c r="B345" s="13" t="e">
        <f>VLOOKUP(A345,LineItems!D:E,2,FALSE)</f>
        <v>#N/A</v>
      </c>
      <c r="C345" s="14" t="e">
        <f>F345</f>
        <v>#N/A</v>
      </c>
      <c r="D345" s="13" t="e">
        <f>VLOOKUP(A345,data!A:D,4,FALSE)</f>
        <v>#N/A</v>
      </c>
      <c r="E345" s="13" t="e">
        <f>VLOOKUP(A345,data!A:E,5,FALSE)</f>
        <v>#N/A</v>
      </c>
      <c r="F345" s="15" t="e">
        <f>VLOOKUP(A345,LineItems!D:I,6,FALSE) / VLOOKUP(A345,LineItems!D:I,5,FALSE)</f>
        <v>#N/A</v>
      </c>
      <c r="G345" s="16" t="e">
        <f xml:space="preserve"> IF((VLOOKUP(A345,data!A:C,3,FALSE)-F345)=0,"No Change","Price Changed")</f>
        <v>#N/A</v>
      </c>
    </row>
    <row r="346" spans="2:7" x14ac:dyDescent="0.2">
      <c r="B346" s="13" t="e">
        <f>VLOOKUP(A346,LineItems!D:E,2,FALSE)</f>
        <v>#N/A</v>
      </c>
      <c r="C346" s="14" t="e">
        <f>F346</f>
        <v>#N/A</v>
      </c>
      <c r="D346" s="13" t="e">
        <f>VLOOKUP(A346,data!A:D,4,FALSE)</f>
        <v>#N/A</v>
      </c>
      <c r="E346" s="13" t="e">
        <f>VLOOKUP(A346,data!A:E,5,FALSE)</f>
        <v>#N/A</v>
      </c>
      <c r="F346" s="15" t="e">
        <f>VLOOKUP(A346,LineItems!D:I,6,FALSE) / VLOOKUP(A346,LineItems!D:I,5,FALSE)</f>
        <v>#N/A</v>
      </c>
      <c r="G346" s="16" t="e">
        <f xml:space="preserve"> IF((VLOOKUP(A346,data!A:C,3,FALSE)-F346)=0,"No Change","Price Changed")</f>
        <v>#N/A</v>
      </c>
    </row>
    <row r="347" spans="2:7" x14ac:dyDescent="0.2">
      <c r="B347" s="13" t="e">
        <f>VLOOKUP(A347,LineItems!D:E,2,FALSE)</f>
        <v>#N/A</v>
      </c>
      <c r="C347" s="14" t="e">
        <f>F347</f>
        <v>#N/A</v>
      </c>
      <c r="D347" s="13" t="e">
        <f>VLOOKUP(A347,data!A:D,4,FALSE)</f>
        <v>#N/A</v>
      </c>
      <c r="E347" s="13" t="e">
        <f>VLOOKUP(A347,data!A:E,5,FALSE)</f>
        <v>#N/A</v>
      </c>
      <c r="F347" s="15" t="e">
        <f>VLOOKUP(A347,LineItems!D:I,6,FALSE) / VLOOKUP(A347,LineItems!D:I,5,FALSE)</f>
        <v>#N/A</v>
      </c>
      <c r="G347" s="16" t="e">
        <f xml:space="preserve"> IF((VLOOKUP(A347,data!A:C,3,FALSE)-F347)=0,"No Change","Price Changed")</f>
        <v>#N/A</v>
      </c>
    </row>
    <row r="348" spans="2:7" x14ac:dyDescent="0.2">
      <c r="B348" s="13" t="e">
        <f>VLOOKUP(A348,LineItems!D:E,2,FALSE)</f>
        <v>#N/A</v>
      </c>
      <c r="C348" s="14" t="e">
        <f>F348</f>
        <v>#N/A</v>
      </c>
      <c r="D348" s="13" t="e">
        <f>VLOOKUP(A348,data!A:D,4,FALSE)</f>
        <v>#N/A</v>
      </c>
      <c r="E348" s="13" t="e">
        <f>VLOOKUP(A348,data!A:E,5,FALSE)</f>
        <v>#N/A</v>
      </c>
      <c r="F348" s="15" t="e">
        <f>VLOOKUP(A348,LineItems!D:I,6,FALSE) / VLOOKUP(A348,LineItems!D:I,5,FALSE)</f>
        <v>#N/A</v>
      </c>
      <c r="G348" s="16" t="e">
        <f xml:space="preserve"> IF((VLOOKUP(A348,data!A:C,3,FALSE)-F348)=0,"No Change","Price Changed")</f>
        <v>#N/A</v>
      </c>
    </row>
    <row r="349" spans="2:7" x14ac:dyDescent="0.2">
      <c r="B349" s="13" t="e">
        <f>VLOOKUP(A349,LineItems!D:E,2,FALSE)</f>
        <v>#N/A</v>
      </c>
      <c r="C349" s="14" t="e">
        <f>F349</f>
        <v>#N/A</v>
      </c>
      <c r="D349" s="13" t="e">
        <f>VLOOKUP(A349,data!A:D,4,FALSE)</f>
        <v>#N/A</v>
      </c>
      <c r="E349" s="13" t="e">
        <f>VLOOKUP(A349,data!A:E,5,FALSE)</f>
        <v>#N/A</v>
      </c>
      <c r="F349" s="15" t="e">
        <f>VLOOKUP(A349,LineItems!D:I,6,FALSE) / VLOOKUP(A349,LineItems!D:I,5,FALSE)</f>
        <v>#N/A</v>
      </c>
      <c r="G349" s="16" t="e">
        <f xml:space="preserve"> IF((VLOOKUP(A349,data!A:C,3,FALSE)-F349)=0,"No Change","Price Changed")</f>
        <v>#N/A</v>
      </c>
    </row>
    <row r="350" spans="2:7" x14ac:dyDescent="0.2">
      <c r="B350" s="13" t="e">
        <f>VLOOKUP(A350,LineItems!D:E,2,FALSE)</f>
        <v>#N/A</v>
      </c>
      <c r="C350" s="14" t="e">
        <f>F350</f>
        <v>#N/A</v>
      </c>
      <c r="D350" s="13" t="e">
        <f>VLOOKUP(A350,data!A:D,4,FALSE)</f>
        <v>#N/A</v>
      </c>
      <c r="E350" s="13" t="e">
        <f>VLOOKUP(A350,data!A:E,5,FALSE)</f>
        <v>#N/A</v>
      </c>
      <c r="F350" s="15" t="e">
        <f>VLOOKUP(A350,LineItems!D:I,6,FALSE) / VLOOKUP(A350,LineItems!D:I,5,FALSE)</f>
        <v>#N/A</v>
      </c>
      <c r="G350" s="16" t="e">
        <f xml:space="preserve"> IF((VLOOKUP(A350,data!A:C,3,FALSE)-F350)=0,"No Change","Price Changed")</f>
        <v>#N/A</v>
      </c>
    </row>
    <row r="351" spans="2:7" x14ac:dyDescent="0.2">
      <c r="B351" s="13" t="e">
        <f>VLOOKUP(A351,LineItems!D:E,2,FALSE)</f>
        <v>#N/A</v>
      </c>
      <c r="C351" s="14" t="e">
        <f>F351</f>
        <v>#N/A</v>
      </c>
      <c r="D351" s="13" t="e">
        <f>VLOOKUP(A351,data!A:D,4,FALSE)</f>
        <v>#N/A</v>
      </c>
      <c r="E351" s="13" t="e">
        <f>VLOOKUP(A351,data!A:E,5,FALSE)</f>
        <v>#N/A</v>
      </c>
      <c r="F351" s="15" t="e">
        <f>VLOOKUP(A351,LineItems!D:I,6,FALSE) / VLOOKUP(A351,LineItems!D:I,5,FALSE)</f>
        <v>#N/A</v>
      </c>
      <c r="G351" s="16" t="e">
        <f xml:space="preserve"> IF((VLOOKUP(A351,data!A:C,3,FALSE)-F351)=0,"No Change","Price Changed")</f>
        <v>#N/A</v>
      </c>
    </row>
    <row r="352" spans="2:7" x14ac:dyDescent="0.2">
      <c r="B352" s="13" t="e">
        <f>VLOOKUP(A352,LineItems!D:E,2,FALSE)</f>
        <v>#N/A</v>
      </c>
      <c r="C352" s="14" t="e">
        <f>F352</f>
        <v>#N/A</v>
      </c>
      <c r="D352" s="13" t="e">
        <f>VLOOKUP(A352,data!A:D,4,FALSE)</f>
        <v>#N/A</v>
      </c>
      <c r="E352" s="13" t="e">
        <f>VLOOKUP(A352,data!A:E,5,FALSE)</f>
        <v>#N/A</v>
      </c>
      <c r="F352" s="15" t="e">
        <f>VLOOKUP(A352,LineItems!D:I,6,FALSE) / VLOOKUP(A352,LineItems!D:I,5,FALSE)</f>
        <v>#N/A</v>
      </c>
      <c r="G352" s="16" t="e">
        <f xml:space="preserve"> IF((VLOOKUP(A352,data!A:C,3,FALSE)-F352)=0,"No Change","Price Changed")</f>
        <v>#N/A</v>
      </c>
    </row>
    <row r="353" spans="2:7" x14ac:dyDescent="0.2">
      <c r="B353" s="13" t="e">
        <f>VLOOKUP(A353,LineItems!D:E,2,FALSE)</f>
        <v>#N/A</v>
      </c>
      <c r="C353" s="14" t="e">
        <f>F353</f>
        <v>#N/A</v>
      </c>
      <c r="D353" s="13" t="e">
        <f>VLOOKUP(A353,data!A:D,4,FALSE)</f>
        <v>#N/A</v>
      </c>
      <c r="E353" s="13" t="e">
        <f>VLOOKUP(A353,data!A:E,5,FALSE)</f>
        <v>#N/A</v>
      </c>
      <c r="F353" s="15" t="e">
        <f>VLOOKUP(A353,LineItems!D:I,6,FALSE) / VLOOKUP(A353,LineItems!D:I,5,FALSE)</f>
        <v>#N/A</v>
      </c>
      <c r="G353" s="16" t="e">
        <f xml:space="preserve"> IF((VLOOKUP(A353,data!A:C,3,FALSE)-F353)=0,"No Change","Price Changed")</f>
        <v>#N/A</v>
      </c>
    </row>
    <row r="354" spans="2:7" x14ac:dyDescent="0.2">
      <c r="B354" s="13" t="e">
        <f>VLOOKUP(A354,LineItems!D:E,2,FALSE)</f>
        <v>#N/A</v>
      </c>
      <c r="C354" s="14" t="e">
        <f>F354</f>
        <v>#N/A</v>
      </c>
      <c r="D354" s="13" t="e">
        <f>VLOOKUP(A354,data!A:D,4,FALSE)</f>
        <v>#N/A</v>
      </c>
      <c r="E354" s="13" t="e">
        <f>VLOOKUP(A354,data!A:E,5,FALSE)</f>
        <v>#N/A</v>
      </c>
      <c r="F354" s="15" t="e">
        <f>VLOOKUP(A354,LineItems!D:I,6,FALSE) / VLOOKUP(A354,LineItems!D:I,5,FALSE)</f>
        <v>#N/A</v>
      </c>
      <c r="G354" s="16" t="e">
        <f xml:space="preserve"> IF((VLOOKUP(A354,data!A:C,3,FALSE)-F354)=0,"No Change","Price Changed")</f>
        <v>#N/A</v>
      </c>
    </row>
    <row r="355" spans="2:7" x14ac:dyDescent="0.2">
      <c r="B355" s="13" t="e">
        <f>VLOOKUP(A355,LineItems!D:E,2,FALSE)</f>
        <v>#N/A</v>
      </c>
      <c r="C355" s="14" t="e">
        <f>F355</f>
        <v>#N/A</v>
      </c>
      <c r="D355" s="13" t="e">
        <f>VLOOKUP(A355,data!A:D,4,FALSE)</f>
        <v>#N/A</v>
      </c>
      <c r="E355" s="13" t="e">
        <f>VLOOKUP(A355,data!A:E,5,FALSE)</f>
        <v>#N/A</v>
      </c>
      <c r="F355" s="15" t="e">
        <f>VLOOKUP(A355,LineItems!D:I,6,FALSE) / VLOOKUP(A355,LineItems!D:I,5,FALSE)</f>
        <v>#N/A</v>
      </c>
      <c r="G355" s="16" t="e">
        <f xml:space="preserve"> IF((VLOOKUP(A355,data!A:C,3,FALSE)-F355)=0,"No Change","Price Changed")</f>
        <v>#N/A</v>
      </c>
    </row>
    <row r="356" spans="2:7" x14ac:dyDescent="0.2">
      <c r="B356" s="13" t="e">
        <f>VLOOKUP(A356,LineItems!D:E,2,FALSE)</f>
        <v>#N/A</v>
      </c>
      <c r="C356" s="14" t="e">
        <f>F356</f>
        <v>#N/A</v>
      </c>
      <c r="D356" s="13" t="e">
        <f>VLOOKUP(A356,data!A:D,4,FALSE)</f>
        <v>#N/A</v>
      </c>
      <c r="E356" s="13" t="e">
        <f>VLOOKUP(A356,data!A:E,5,FALSE)</f>
        <v>#N/A</v>
      </c>
      <c r="F356" s="15" t="e">
        <f>VLOOKUP(A356,LineItems!D:I,6,FALSE) / VLOOKUP(A356,LineItems!D:I,5,FALSE)</f>
        <v>#N/A</v>
      </c>
      <c r="G356" s="16" t="e">
        <f xml:space="preserve"> IF((VLOOKUP(A356,data!A:C,3,FALSE)-F356)=0,"No Change","Price Changed")</f>
        <v>#N/A</v>
      </c>
    </row>
    <row r="357" spans="2:7" x14ac:dyDescent="0.2">
      <c r="B357" s="13" t="e">
        <f>VLOOKUP(A357,LineItems!D:E,2,FALSE)</f>
        <v>#N/A</v>
      </c>
      <c r="C357" s="14" t="e">
        <f>F357</f>
        <v>#N/A</v>
      </c>
      <c r="D357" s="13" t="e">
        <f>VLOOKUP(A357,data!A:D,4,FALSE)</f>
        <v>#N/A</v>
      </c>
      <c r="E357" s="13" t="e">
        <f>VLOOKUP(A357,data!A:E,5,FALSE)</f>
        <v>#N/A</v>
      </c>
      <c r="F357" s="15" t="e">
        <f>VLOOKUP(A357,LineItems!D:I,6,FALSE) / VLOOKUP(A357,LineItems!D:I,5,FALSE)</f>
        <v>#N/A</v>
      </c>
      <c r="G357" s="16" t="e">
        <f xml:space="preserve"> IF((VLOOKUP(A357,data!A:C,3,FALSE)-F357)=0,"No Change","Price Changed")</f>
        <v>#N/A</v>
      </c>
    </row>
    <row r="358" spans="2:7" x14ac:dyDescent="0.2">
      <c r="B358" s="13" t="e">
        <f>VLOOKUP(A358,LineItems!D:E,2,FALSE)</f>
        <v>#N/A</v>
      </c>
      <c r="C358" s="14" t="e">
        <f>F358</f>
        <v>#N/A</v>
      </c>
      <c r="D358" s="13" t="e">
        <f>VLOOKUP(A358,data!A:D,4,FALSE)</f>
        <v>#N/A</v>
      </c>
      <c r="E358" s="13" t="e">
        <f>VLOOKUP(A358,data!A:E,5,FALSE)</f>
        <v>#N/A</v>
      </c>
      <c r="F358" s="15" t="e">
        <f>VLOOKUP(A358,LineItems!D:I,6,FALSE) / VLOOKUP(A358,LineItems!D:I,5,FALSE)</f>
        <v>#N/A</v>
      </c>
      <c r="G358" s="16" t="e">
        <f xml:space="preserve"> IF((VLOOKUP(A358,data!A:C,3,FALSE)-F358)=0,"No Change","Price Changed")</f>
        <v>#N/A</v>
      </c>
    </row>
    <row r="359" spans="2:7" x14ac:dyDescent="0.2">
      <c r="B359" s="13" t="e">
        <f>VLOOKUP(A359,LineItems!D:E,2,FALSE)</f>
        <v>#N/A</v>
      </c>
      <c r="C359" s="14" t="e">
        <f>F359</f>
        <v>#N/A</v>
      </c>
      <c r="D359" s="13" t="e">
        <f>VLOOKUP(A359,data!A:D,4,FALSE)</f>
        <v>#N/A</v>
      </c>
      <c r="E359" s="13" t="e">
        <f>VLOOKUP(A359,data!A:E,5,FALSE)</f>
        <v>#N/A</v>
      </c>
      <c r="F359" s="15" t="e">
        <f>VLOOKUP(A359,LineItems!D:I,6,FALSE) / VLOOKUP(A359,LineItems!D:I,5,FALSE)</f>
        <v>#N/A</v>
      </c>
      <c r="G359" s="16" t="e">
        <f xml:space="preserve"> IF((VLOOKUP(A359,data!A:C,3,FALSE)-F359)=0,"No Change","Price Changed")</f>
        <v>#N/A</v>
      </c>
    </row>
    <row r="360" spans="2:7" x14ac:dyDescent="0.2">
      <c r="B360" s="13" t="e">
        <f>VLOOKUP(A360,LineItems!D:E,2,FALSE)</f>
        <v>#N/A</v>
      </c>
      <c r="C360" s="14" t="e">
        <f>F360</f>
        <v>#N/A</v>
      </c>
      <c r="D360" s="13" t="e">
        <f>VLOOKUP(A360,data!A:D,4,FALSE)</f>
        <v>#N/A</v>
      </c>
      <c r="E360" s="13" t="e">
        <f>VLOOKUP(A360,data!A:E,5,FALSE)</f>
        <v>#N/A</v>
      </c>
      <c r="F360" s="15" t="e">
        <f>VLOOKUP(A360,LineItems!D:I,6,FALSE) / VLOOKUP(A360,LineItems!D:I,5,FALSE)</f>
        <v>#N/A</v>
      </c>
      <c r="G360" s="16" t="e">
        <f xml:space="preserve"> IF((VLOOKUP(A360,data!A:C,3,FALSE)-F360)=0,"No Change","Price Changed")</f>
        <v>#N/A</v>
      </c>
    </row>
    <row r="361" spans="2:7" x14ac:dyDescent="0.2">
      <c r="B361" s="13" t="e">
        <f>VLOOKUP(A361,LineItems!D:E,2,FALSE)</f>
        <v>#N/A</v>
      </c>
      <c r="C361" s="14" t="e">
        <f>F361</f>
        <v>#N/A</v>
      </c>
      <c r="D361" s="13" t="e">
        <f>VLOOKUP(A361,data!A:D,4,FALSE)</f>
        <v>#N/A</v>
      </c>
      <c r="E361" s="13" t="e">
        <f>VLOOKUP(A361,data!A:E,5,FALSE)</f>
        <v>#N/A</v>
      </c>
      <c r="F361" s="15" t="e">
        <f>VLOOKUP(A361,LineItems!D:I,6,FALSE) / VLOOKUP(A361,LineItems!D:I,5,FALSE)</f>
        <v>#N/A</v>
      </c>
      <c r="G361" s="16" t="e">
        <f xml:space="preserve"> IF((VLOOKUP(A361,data!A:C,3,FALSE)-F361)=0,"No Change","Price Changed")</f>
        <v>#N/A</v>
      </c>
    </row>
    <row r="362" spans="2:7" x14ac:dyDescent="0.2">
      <c r="B362" s="13" t="e">
        <f>VLOOKUP(A362,LineItems!D:E,2,FALSE)</f>
        <v>#N/A</v>
      </c>
      <c r="C362" s="14" t="e">
        <f>F362</f>
        <v>#N/A</v>
      </c>
      <c r="D362" s="13" t="e">
        <f>VLOOKUP(A362,data!A:D,4,FALSE)</f>
        <v>#N/A</v>
      </c>
      <c r="E362" s="13" t="e">
        <f>VLOOKUP(A362,data!A:E,5,FALSE)</f>
        <v>#N/A</v>
      </c>
      <c r="F362" s="15" t="e">
        <f>VLOOKUP(A362,LineItems!D:I,6,FALSE) / VLOOKUP(A362,LineItems!D:I,5,FALSE)</f>
        <v>#N/A</v>
      </c>
      <c r="G362" s="16" t="e">
        <f xml:space="preserve"> IF((VLOOKUP(A362,data!A:C,3,FALSE)-F362)=0,"No Change","Price Changed")</f>
        <v>#N/A</v>
      </c>
    </row>
    <row r="363" spans="2:7" x14ac:dyDescent="0.2">
      <c r="B363" s="13" t="e">
        <f>VLOOKUP(A363,LineItems!D:E,2,FALSE)</f>
        <v>#N/A</v>
      </c>
      <c r="C363" s="14" t="e">
        <f>F363</f>
        <v>#N/A</v>
      </c>
      <c r="D363" s="13" t="e">
        <f>VLOOKUP(A363,data!A:D,4,FALSE)</f>
        <v>#N/A</v>
      </c>
      <c r="E363" s="13" t="e">
        <f>VLOOKUP(A363,data!A:E,5,FALSE)</f>
        <v>#N/A</v>
      </c>
      <c r="F363" s="15" t="e">
        <f>VLOOKUP(A363,LineItems!D:I,6,FALSE) / VLOOKUP(A363,LineItems!D:I,5,FALSE)</f>
        <v>#N/A</v>
      </c>
      <c r="G363" s="16" t="e">
        <f xml:space="preserve"> IF((VLOOKUP(A363,data!A:C,3,FALSE)-F363)=0,"No Change","Price Changed")</f>
        <v>#N/A</v>
      </c>
    </row>
    <row r="364" spans="2:7" x14ac:dyDescent="0.2">
      <c r="B364" s="13" t="e">
        <f>VLOOKUP(A364,LineItems!D:E,2,FALSE)</f>
        <v>#N/A</v>
      </c>
      <c r="C364" s="14" t="e">
        <f>F364</f>
        <v>#N/A</v>
      </c>
      <c r="D364" s="13" t="e">
        <f>VLOOKUP(A364,data!A:D,4,FALSE)</f>
        <v>#N/A</v>
      </c>
      <c r="E364" s="13" t="e">
        <f>VLOOKUP(A364,data!A:E,5,FALSE)</f>
        <v>#N/A</v>
      </c>
      <c r="F364" s="15" t="e">
        <f>VLOOKUP(A364,LineItems!D:I,6,FALSE) / VLOOKUP(A364,LineItems!D:I,5,FALSE)</f>
        <v>#N/A</v>
      </c>
      <c r="G364" s="16" t="e">
        <f xml:space="preserve"> IF((VLOOKUP(A364,data!A:C,3,FALSE)-F364)=0,"No Change","Price Changed")</f>
        <v>#N/A</v>
      </c>
    </row>
    <row r="365" spans="2:7" x14ac:dyDescent="0.2">
      <c r="B365" s="13" t="e">
        <f>VLOOKUP(A365,LineItems!D:E,2,FALSE)</f>
        <v>#N/A</v>
      </c>
      <c r="C365" s="14" t="e">
        <f>F365</f>
        <v>#N/A</v>
      </c>
      <c r="D365" s="13" t="e">
        <f>VLOOKUP(A365,data!A:D,4,FALSE)</f>
        <v>#N/A</v>
      </c>
      <c r="E365" s="13" t="e">
        <f>VLOOKUP(A365,data!A:E,5,FALSE)</f>
        <v>#N/A</v>
      </c>
      <c r="F365" s="15" t="e">
        <f>VLOOKUP(A365,LineItems!D:I,6,FALSE) / VLOOKUP(A365,LineItems!D:I,5,FALSE)</f>
        <v>#N/A</v>
      </c>
      <c r="G365" s="16" t="e">
        <f xml:space="preserve"> IF((VLOOKUP(A365,data!A:C,3,FALSE)-F365)=0,"No Change","Price Changed")</f>
        <v>#N/A</v>
      </c>
    </row>
    <row r="366" spans="2:7" x14ac:dyDescent="0.2">
      <c r="B366" s="13" t="e">
        <f>VLOOKUP(A366,LineItems!D:E,2,FALSE)</f>
        <v>#N/A</v>
      </c>
      <c r="C366" s="14" t="e">
        <f>F366</f>
        <v>#N/A</v>
      </c>
      <c r="D366" s="13" t="e">
        <f>VLOOKUP(A366,data!A:D,4,FALSE)</f>
        <v>#N/A</v>
      </c>
      <c r="E366" s="13" t="e">
        <f>VLOOKUP(A366,data!A:E,5,FALSE)</f>
        <v>#N/A</v>
      </c>
      <c r="F366" s="15" t="e">
        <f>VLOOKUP(A366,LineItems!D:I,6,FALSE) / VLOOKUP(A366,LineItems!D:I,5,FALSE)</f>
        <v>#N/A</v>
      </c>
      <c r="G366" s="16" t="e">
        <f xml:space="preserve"> IF((VLOOKUP(A366,data!A:C,3,FALSE)-F366)=0,"No Change","Price Changed")</f>
        <v>#N/A</v>
      </c>
    </row>
    <row r="367" spans="2:7" x14ac:dyDescent="0.2">
      <c r="B367" s="13" t="e">
        <f>VLOOKUP(A367,LineItems!D:E,2,FALSE)</f>
        <v>#N/A</v>
      </c>
      <c r="C367" s="14" t="e">
        <f>F367</f>
        <v>#N/A</v>
      </c>
      <c r="D367" s="13" t="e">
        <f>VLOOKUP(A367,data!A:D,4,FALSE)</f>
        <v>#N/A</v>
      </c>
      <c r="E367" s="13" t="e">
        <f>VLOOKUP(A367,data!A:E,5,FALSE)</f>
        <v>#N/A</v>
      </c>
      <c r="F367" s="15" t="e">
        <f>VLOOKUP(A367,LineItems!D:I,6,FALSE) / VLOOKUP(A367,LineItems!D:I,5,FALSE)</f>
        <v>#N/A</v>
      </c>
      <c r="G367" s="16" t="e">
        <f xml:space="preserve"> IF((VLOOKUP(A367,data!A:C,3,FALSE)-F367)=0,"No Change","Price Changed")</f>
        <v>#N/A</v>
      </c>
    </row>
    <row r="368" spans="2:7" x14ac:dyDescent="0.2">
      <c r="B368" s="13" t="e">
        <f>VLOOKUP(A368,LineItems!D:E,2,FALSE)</f>
        <v>#N/A</v>
      </c>
      <c r="C368" s="14" t="e">
        <f>F368</f>
        <v>#N/A</v>
      </c>
      <c r="D368" s="13" t="e">
        <f>VLOOKUP(A368,data!A:D,4,FALSE)</f>
        <v>#N/A</v>
      </c>
      <c r="E368" s="13" t="e">
        <f>VLOOKUP(A368,data!A:E,5,FALSE)</f>
        <v>#N/A</v>
      </c>
      <c r="F368" s="15" t="e">
        <f>VLOOKUP(A368,LineItems!D:I,6,FALSE) / VLOOKUP(A368,LineItems!D:I,5,FALSE)</f>
        <v>#N/A</v>
      </c>
      <c r="G368" s="16" t="e">
        <f xml:space="preserve"> IF((VLOOKUP(A368,data!A:C,3,FALSE)-F368)=0,"No Change","Price Changed")</f>
        <v>#N/A</v>
      </c>
    </row>
    <row r="369" spans="2:7" x14ac:dyDescent="0.2">
      <c r="B369" s="13" t="e">
        <f>VLOOKUP(A369,LineItems!D:E,2,FALSE)</f>
        <v>#N/A</v>
      </c>
      <c r="C369" s="14" t="e">
        <f>F369</f>
        <v>#N/A</v>
      </c>
      <c r="D369" s="13" t="e">
        <f>VLOOKUP(A369,data!A:D,4,FALSE)</f>
        <v>#N/A</v>
      </c>
      <c r="E369" s="13" t="e">
        <f>VLOOKUP(A369,data!A:E,5,FALSE)</f>
        <v>#N/A</v>
      </c>
      <c r="F369" s="15" t="e">
        <f>VLOOKUP(A369,LineItems!D:I,6,FALSE) / VLOOKUP(A369,LineItems!D:I,5,FALSE)</f>
        <v>#N/A</v>
      </c>
      <c r="G369" s="16" t="e">
        <f xml:space="preserve"> IF((VLOOKUP(A369,data!A:C,3,FALSE)-F369)=0,"No Change","Price Changed")</f>
        <v>#N/A</v>
      </c>
    </row>
    <row r="370" spans="2:7" x14ac:dyDescent="0.2">
      <c r="B370" s="13" t="e">
        <f>VLOOKUP(A370,LineItems!D:E,2,FALSE)</f>
        <v>#N/A</v>
      </c>
      <c r="C370" s="14" t="e">
        <f>F370</f>
        <v>#N/A</v>
      </c>
      <c r="D370" s="13" t="e">
        <f>VLOOKUP(A370,data!A:D,4,FALSE)</f>
        <v>#N/A</v>
      </c>
      <c r="E370" s="13" t="e">
        <f>VLOOKUP(A370,data!A:E,5,FALSE)</f>
        <v>#N/A</v>
      </c>
      <c r="F370" s="15" t="e">
        <f>VLOOKUP(A370,LineItems!D:I,6,FALSE) / VLOOKUP(A370,LineItems!D:I,5,FALSE)</f>
        <v>#N/A</v>
      </c>
      <c r="G370" s="16" t="e">
        <f xml:space="preserve"> IF((VLOOKUP(A370,data!A:C,3,FALSE)-F370)=0,"No Change","Price Changed")</f>
        <v>#N/A</v>
      </c>
    </row>
    <row r="371" spans="2:7" x14ac:dyDescent="0.2">
      <c r="B371" s="13" t="e">
        <f>VLOOKUP(A371,LineItems!D:E,2,FALSE)</f>
        <v>#N/A</v>
      </c>
      <c r="C371" s="14" t="e">
        <f>F371</f>
        <v>#N/A</v>
      </c>
      <c r="D371" s="13" t="e">
        <f>VLOOKUP(A371,data!A:D,4,FALSE)</f>
        <v>#N/A</v>
      </c>
      <c r="E371" s="13" t="e">
        <f>VLOOKUP(A371,data!A:E,5,FALSE)</f>
        <v>#N/A</v>
      </c>
      <c r="F371" s="15" t="e">
        <f>VLOOKUP(A371,LineItems!D:I,6,FALSE) / VLOOKUP(A371,LineItems!D:I,5,FALSE)</f>
        <v>#N/A</v>
      </c>
      <c r="G371" s="16" t="e">
        <f xml:space="preserve"> IF((VLOOKUP(A371,data!A:C,3,FALSE)-F371)=0,"No Change","Price Changed")</f>
        <v>#N/A</v>
      </c>
    </row>
    <row r="372" spans="2:7" x14ac:dyDescent="0.2">
      <c r="B372" s="13" t="e">
        <f>VLOOKUP(A372,LineItems!D:E,2,FALSE)</f>
        <v>#N/A</v>
      </c>
      <c r="C372" s="14" t="e">
        <f>F372</f>
        <v>#N/A</v>
      </c>
      <c r="D372" s="13" t="e">
        <f>VLOOKUP(A372,data!A:D,4,FALSE)</f>
        <v>#N/A</v>
      </c>
      <c r="E372" s="13" t="e">
        <f>VLOOKUP(A372,data!A:E,5,FALSE)</f>
        <v>#N/A</v>
      </c>
      <c r="F372" s="15" t="e">
        <f>VLOOKUP(A372,LineItems!D:I,6,FALSE) / VLOOKUP(A372,LineItems!D:I,5,FALSE)</f>
        <v>#N/A</v>
      </c>
      <c r="G372" s="16" t="e">
        <f xml:space="preserve"> IF((VLOOKUP(A372,data!A:C,3,FALSE)-F372)=0,"No Change","Price Changed")</f>
        <v>#N/A</v>
      </c>
    </row>
    <row r="373" spans="2:7" x14ac:dyDescent="0.2">
      <c r="B373" s="13" t="e">
        <f>VLOOKUP(A373,LineItems!D:E,2,FALSE)</f>
        <v>#N/A</v>
      </c>
      <c r="C373" s="14" t="e">
        <f>F373</f>
        <v>#N/A</v>
      </c>
      <c r="D373" s="13" t="e">
        <f>VLOOKUP(A373,data!A:D,4,FALSE)</f>
        <v>#N/A</v>
      </c>
      <c r="E373" s="13" t="e">
        <f>VLOOKUP(A373,data!A:E,5,FALSE)</f>
        <v>#N/A</v>
      </c>
      <c r="F373" s="15" t="e">
        <f>VLOOKUP(A373,LineItems!D:I,6,FALSE) / VLOOKUP(A373,LineItems!D:I,5,FALSE)</f>
        <v>#N/A</v>
      </c>
      <c r="G373" s="16" t="e">
        <f xml:space="preserve"> IF((VLOOKUP(A373,data!A:C,3,FALSE)-F373)=0,"No Change","Price Changed")</f>
        <v>#N/A</v>
      </c>
    </row>
    <row r="374" spans="2:7" x14ac:dyDescent="0.2">
      <c r="B374" s="13" t="e">
        <f>VLOOKUP(A374,LineItems!D:E,2,FALSE)</f>
        <v>#N/A</v>
      </c>
      <c r="C374" s="14" t="e">
        <f>F374</f>
        <v>#N/A</v>
      </c>
      <c r="D374" s="13" t="e">
        <f>VLOOKUP(A374,data!A:D,4,FALSE)</f>
        <v>#N/A</v>
      </c>
      <c r="E374" s="13" t="e">
        <f>VLOOKUP(A374,data!A:E,5,FALSE)</f>
        <v>#N/A</v>
      </c>
      <c r="F374" s="15" t="e">
        <f>VLOOKUP(A374,LineItems!D:I,6,FALSE) / VLOOKUP(A374,LineItems!D:I,5,FALSE)</f>
        <v>#N/A</v>
      </c>
      <c r="G374" s="16" t="e">
        <f xml:space="preserve"> IF((VLOOKUP(A374,data!A:C,3,FALSE)-F374)=0,"No Change","Price Changed")</f>
        <v>#N/A</v>
      </c>
    </row>
    <row r="375" spans="2:7" x14ac:dyDescent="0.2">
      <c r="B375" s="13" t="e">
        <f>VLOOKUP(A375,LineItems!D:E,2,FALSE)</f>
        <v>#N/A</v>
      </c>
      <c r="C375" s="14" t="e">
        <f>F375</f>
        <v>#N/A</v>
      </c>
      <c r="D375" s="13" t="e">
        <f>VLOOKUP(A375,data!A:D,4,FALSE)</f>
        <v>#N/A</v>
      </c>
      <c r="E375" s="13" t="e">
        <f>VLOOKUP(A375,data!A:E,5,FALSE)</f>
        <v>#N/A</v>
      </c>
      <c r="F375" s="15" t="e">
        <f>VLOOKUP(A375,LineItems!D:I,6,FALSE) / VLOOKUP(A375,LineItems!D:I,5,FALSE)</f>
        <v>#N/A</v>
      </c>
      <c r="G375" s="16" t="e">
        <f xml:space="preserve"> IF((VLOOKUP(A375,data!A:C,3,FALSE)-F375)=0,"No Change","Price Changed")</f>
        <v>#N/A</v>
      </c>
    </row>
    <row r="376" spans="2:7" x14ac:dyDescent="0.2">
      <c r="B376" s="13" t="e">
        <f>VLOOKUP(A376,LineItems!D:E,2,FALSE)</f>
        <v>#N/A</v>
      </c>
      <c r="C376" s="14" t="e">
        <f>F376</f>
        <v>#N/A</v>
      </c>
      <c r="D376" s="13" t="e">
        <f>VLOOKUP(A376,data!A:D,4,FALSE)</f>
        <v>#N/A</v>
      </c>
      <c r="E376" s="13" t="e">
        <f>VLOOKUP(A376,data!A:E,5,FALSE)</f>
        <v>#N/A</v>
      </c>
      <c r="F376" s="15" t="e">
        <f>VLOOKUP(A376,LineItems!D:I,6,FALSE) / VLOOKUP(A376,LineItems!D:I,5,FALSE)</f>
        <v>#N/A</v>
      </c>
      <c r="G376" s="16" t="e">
        <f xml:space="preserve"> IF((VLOOKUP(A376,data!A:C,3,FALSE)-F376)=0,"No Change","Price Changed")</f>
        <v>#N/A</v>
      </c>
    </row>
    <row r="377" spans="2:7" x14ac:dyDescent="0.2">
      <c r="B377" s="13" t="e">
        <f>VLOOKUP(A377,LineItems!D:E,2,FALSE)</f>
        <v>#N/A</v>
      </c>
      <c r="C377" s="14" t="e">
        <f>F377</f>
        <v>#N/A</v>
      </c>
      <c r="D377" s="13" t="e">
        <f>VLOOKUP(A377,data!A:D,4,FALSE)</f>
        <v>#N/A</v>
      </c>
      <c r="E377" s="13" t="e">
        <f>VLOOKUP(A377,data!A:E,5,FALSE)</f>
        <v>#N/A</v>
      </c>
      <c r="F377" s="15" t="e">
        <f>VLOOKUP(A377,LineItems!D:I,6,FALSE) / VLOOKUP(A377,LineItems!D:I,5,FALSE)</f>
        <v>#N/A</v>
      </c>
      <c r="G377" s="16" t="e">
        <f xml:space="preserve"> IF((VLOOKUP(A377,data!A:C,3,FALSE)-F377)=0,"No Change","Price Changed")</f>
        <v>#N/A</v>
      </c>
    </row>
    <row r="378" spans="2:7" x14ac:dyDescent="0.2">
      <c r="B378" s="13" t="e">
        <f>VLOOKUP(A378,LineItems!D:E,2,FALSE)</f>
        <v>#N/A</v>
      </c>
      <c r="C378" s="14" t="e">
        <f>F378</f>
        <v>#N/A</v>
      </c>
      <c r="D378" s="13" t="e">
        <f>VLOOKUP(A378,data!A:D,4,FALSE)</f>
        <v>#N/A</v>
      </c>
      <c r="E378" s="13" t="e">
        <f>VLOOKUP(A378,data!A:E,5,FALSE)</f>
        <v>#N/A</v>
      </c>
      <c r="F378" s="15" t="e">
        <f>VLOOKUP(A378,LineItems!D:I,6,FALSE) / VLOOKUP(A378,LineItems!D:I,5,FALSE)</f>
        <v>#N/A</v>
      </c>
      <c r="G378" s="16" t="e">
        <f xml:space="preserve"> IF((VLOOKUP(A378,data!A:C,3,FALSE)-F378)=0,"No Change","Price Changed")</f>
        <v>#N/A</v>
      </c>
    </row>
    <row r="379" spans="2:7" x14ac:dyDescent="0.2">
      <c r="B379" s="13" t="e">
        <f>VLOOKUP(A379,LineItems!D:E,2,FALSE)</f>
        <v>#N/A</v>
      </c>
      <c r="C379" s="14" t="e">
        <f>F379</f>
        <v>#N/A</v>
      </c>
      <c r="D379" s="13" t="e">
        <f>VLOOKUP(A379,data!A:D,4,FALSE)</f>
        <v>#N/A</v>
      </c>
      <c r="E379" s="13" t="e">
        <f>VLOOKUP(A379,data!A:E,5,FALSE)</f>
        <v>#N/A</v>
      </c>
      <c r="F379" s="15" t="e">
        <f>VLOOKUP(A379,LineItems!D:I,6,FALSE) / VLOOKUP(A379,LineItems!D:I,5,FALSE)</f>
        <v>#N/A</v>
      </c>
      <c r="G379" s="16" t="e">
        <f xml:space="preserve"> IF((VLOOKUP(A379,data!A:C,3,FALSE)-F379)=0,"No Change","Price Changed")</f>
        <v>#N/A</v>
      </c>
    </row>
    <row r="380" spans="2:7" x14ac:dyDescent="0.2">
      <c r="B380" s="13" t="e">
        <f>VLOOKUP(A380,LineItems!D:E,2,FALSE)</f>
        <v>#N/A</v>
      </c>
      <c r="C380" s="14" t="e">
        <f>F380</f>
        <v>#N/A</v>
      </c>
      <c r="D380" s="13" t="e">
        <f>VLOOKUP(A380,data!A:D,4,FALSE)</f>
        <v>#N/A</v>
      </c>
      <c r="E380" s="13" t="e">
        <f>VLOOKUP(A380,data!A:E,5,FALSE)</f>
        <v>#N/A</v>
      </c>
      <c r="F380" s="15" t="e">
        <f>VLOOKUP(A380,LineItems!D:I,6,FALSE) / VLOOKUP(A380,LineItems!D:I,5,FALSE)</f>
        <v>#N/A</v>
      </c>
      <c r="G380" s="16" t="e">
        <f xml:space="preserve"> IF((VLOOKUP(A380,data!A:C,3,FALSE)-F380)=0,"No Change","Price Changed")</f>
        <v>#N/A</v>
      </c>
    </row>
    <row r="381" spans="2:7" x14ac:dyDescent="0.2">
      <c r="B381" s="13" t="e">
        <f>VLOOKUP(A381,LineItems!D:E,2,FALSE)</f>
        <v>#N/A</v>
      </c>
      <c r="C381" s="14" t="e">
        <f>F381</f>
        <v>#N/A</v>
      </c>
      <c r="D381" s="13" t="e">
        <f>VLOOKUP(A381,data!A:D,4,FALSE)</f>
        <v>#N/A</v>
      </c>
      <c r="E381" s="13" t="e">
        <f>VLOOKUP(A381,data!A:E,5,FALSE)</f>
        <v>#N/A</v>
      </c>
      <c r="F381" s="15" t="e">
        <f>VLOOKUP(A381,LineItems!D:I,6,FALSE) / VLOOKUP(A381,LineItems!D:I,5,FALSE)</f>
        <v>#N/A</v>
      </c>
      <c r="G381" s="16" t="e">
        <f xml:space="preserve"> IF((VLOOKUP(A381,data!A:C,3,FALSE)-F381)=0,"No Change","Price Changed")</f>
        <v>#N/A</v>
      </c>
    </row>
    <row r="382" spans="2:7" x14ac:dyDescent="0.2">
      <c r="B382" s="13" t="e">
        <f>VLOOKUP(A382,LineItems!D:E,2,FALSE)</f>
        <v>#N/A</v>
      </c>
      <c r="C382" s="14" t="e">
        <f>F382</f>
        <v>#N/A</v>
      </c>
      <c r="D382" s="13" t="e">
        <f>VLOOKUP(A382,data!A:D,4,FALSE)</f>
        <v>#N/A</v>
      </c>
      <c r="E382" s="13" t="e">
        <f>VLOOKUP(A382,data!A:E,5,FALSE)</f>
        <v>#N/A</v>
      </c>
      <c r="F382" s="15" t="e">
        <f>VLOOKUP(A382,LineItems!D:I,6,FALSE) / VLOOKUP(A382,LineItems!D:I,5,FALSE)</f>
        <v>#N/A</v>
      </c>
      <c r="G382" s="16" t="e">
        <f xml:space="preserve"> IF((VLOOKUP(A382,data!A:C,3,FALSE)-F382)=0,"No Change","Price Changed")</f>
        <v>#N/A</v>
      </c>
    </row>
    <row r="383" spans="2:7" x14ac:dyDescent="0.2">
      <c r="B383" s="13" t="e">
        <f>VLOOKUP(A383,LineItems!D:E,2,FALSE)</f>
        <v>#N/A</v>
      </c>
      <c r="C383" s="14" t="e">
        <f>F383</f>
        <v>#N/A</v>
      </c>
      <c r="D383" s="13" t="e">
        <f>VLOOKUP(A383,data!A:D,4,FALSE)</f>
        <v>#N/A</v>
      </c>
      <c r="E383" s="13" t="e">
        <f>VLOOKUP(A383,data!A:E,5,FALSE)</f>
        <v>#N/A</v>
      </c>
      <c r="F383" s="15" t="e">
        <f>VLOOKUP(A383,LineItems!D:I,6,FALSE) / VLOOKUP(A383,LineItems!D:I,5,FALSE)</f>
        <v>#N/A</v>
      </c>
      <c r="G383" s="16" t="e">
        <f xml:space="preserve"> IF((VLOOKUP(A383,data!A:C,3,FALSE)-F383)=0,"No Change","Price Changed")</f>
        <v>#N/A</v>
      </c>
    </row>
    <row r="384" spans="2:7" x14ac:dyDescent="0.2">
      <c r="B384" s="13" t="e">
        <f>VLOOKUP(A384,LineItems!D:E,2,FALSE)</f>
        <v>#N/A</v>
      </c>
      <c r="C384" s="14" t="e">
        <f>F384</f>
        <v>#N/A</v>
      </c>
      <c r="D384" s="13" t="e">
        <f>VLOOKUP(A384,data!A:D,4,FALSE)</f>
        <v>#N/A</v>
      </c>
      <c r="E384" s="13" t="e">
        <f>VLOOKUP(A384,data!A:E,5,FALSE)</f>
        <v>#N/A</v>
      </c>
      <c r="F384" s="15" t="e">
        <f>VLOOKUP(A384,LineItems!D:I,6,FALSE) / VLOOKUP(A384,LineItems!D:I,5,FALSE)</f>
        <v>#N/A</v>
      </c>
      <c r="G384" s="16" t="e">
        <f xml:space="preserve"> IF((VLOOKUP(A384,data!A:C,3,FALSE)-F384)=0,"No Change","Price Changed")</f>
        <v>#N/A</v>
      </c>
    </row>
    <row r="385" spans="2:7" x14ac:dyDescent="0.2">
      <c r="B385" s="13" t="e">
        <f>VLOOKUP(A385,LineItems!D:E,2,FALSE)</f>
        <v>#N/A</v>
      </c>
      <c r="C385" s="14" t="e">
        <f>F385</f>
        <v>#N/A</v>
      </c>
      <c r="D385" s="13" t="e">
        <f>VLOOKUP(A385,data!A:D,4,FALSE)</f>
        <v>#N/A</v>
      </c>
      <c r="E385" s="13" t="e">
        <f>VLOOKUP(A385,data!A:E,5,FALSE)</f>
        <v>#N/A</v>
      </c>
      <c r="F385" s="15" t="e">
        <f>VLOOKUP(A385,LineItems!D:I,6,FALSE) / VLOOKUP(A385,LineItems!D:I,5,FALSE)</f>
        <v>#N/A</v>
      </c>
      <c r="G385" s="16" t="e">
        <f xml:space="preserve"> IF((VLOOKUP(A385,data!A:C,3,FALSE)-F385)=0,"No Change","Price Changed")</f>
        <v>#N/A</v>
      </c>
    </row>
    <row r="386" spans="2:7" x14ac:dyDescent="0.2">
      <c r="B386" s="13" t="e">
        <f>VLOOKUP(A386,LineItems!D:E,2,FALSE)</f>
        <v>#N/A</v>
      </c>
      <c r="C386" s="14" t="e">
        <f>F386</f>
        <v>#N/A</v>
      </c>
      <c r="D386" s="13" t="e">
        <f>VLOOKUP(A386,data!A:D,4,FALSE)</f>
        <v>#N/A</v>
      </c>
      <c r="E386" s="13" t="e">
        <f>VLOOKUP(A386,data!A:E,5,FALSE)</f>
        <v>#N/A</v>
      </c>
      <c r="F386" s="15" t="e">
        <f>VLOOKUP(A386,LineItems!D:I,6,FALSE) / VLOOKUP(A386,LineItems!D:I,5,FALSE)</f>
        <v>#N/A</v>
      </c>
      <c r="G386" s="16" t="e">
        <f xml:space="preserve"> IF((VLOOKUP(A386,data!A:C,3,FALSE)-F386)=0,"No Change","Price Changed")</f>
        <v>#N/A</v>
      </c>
    </row>
    <row r="387" spans="2:7" x14ac:dyDescent="0.2">
      <c r="B387" s="13" t="e">
        <f>VLOOKUP(A387,LineItems!D:E,2,FALSE)</f>
        <v>#N/A</v>
      </c>
      <c r="C387" s="14" t="e">
        <f>F387</f>
        <v>#N/A</v>
      </c>
      <c r="D387" s="13" t="e">
        <f>VLOOKUP(A387,data!A:D,4,FALSE)</f>
        <v>#N/A</v>
      </c>
      <c r="E387" s="13" t="e">
        <f>VLOOKUP(A387,data!A:E,5,FALSE)</f>
        <v>#N/A</v>
      </c>
      <c r="F387" s="15" t="e">
        <f>VLOOKUP(A387,LineItems!D:I,6,FALSE) / VLOOKUP(A387,LineItems!D:I,5,FALSE)</f>
        <v>#N/A</v>
      </c>
      <c r="G387" s="16" t="e">
        <f xml:space="preserve"> IF((VLOOKUP(A387,data!A:C,3,FALSE)-F387)=0,"No Change","Price Changed")</f>
        <v>#N/A</v>
      </c>
    </row>
    <row r="388" spans="2:7" x14ac:dyDescent="0.2">
      <c r="B388" s="13" t="e">
        <f>VLOOKUP(A388,LineItems!D:E,2,FALSE)</f>
        <v>#N/A</v>
      </c>
      <c r="C388" s="14" t="e">
        <f>F388</f>
        <v>#N/A</v>
      </c>
      <c r="D388" s="13" t="e">
        <f>VLOOKUP(A388,data!A:D,4,FALSE)</f>
        <v>#N/A</v>
      </c>
      <c r="E388" s="13" t="e">
        <f>VLOOKUP(A388,data!A:E,5,FALSE)</f>
        <v>#N/A</v>
      </c>
      <c r="F388" s="15" t="e">
        <f>VLOOKUP(A388,LineItems!D:I,6,FALSE) / VLOOKUP(A388,LineItems!D:I,5,FALSE)</f>
        <v>#N/A</v>
      </c>
      <c r="G388" s="16" t="e">
        <f xml:space="preserve"> IF((VLOOKUP(A388,data!A:C,3,FALSE)-F388)=0,"No Change","Price Changed")</f>
        <v>#N/A</v>
      </c>
    </row>
    <row r="389" spans="2:7" x14ac:dyDescent="0.2">
      <c r="B389" s="13" t="e">
        <f>VLOOKUP(A389,LineItems!D:E,2,FALSE)</f>
        <v>#N/A</v>
      </c>
      <c r="C389" s="14" t="e">
        <f>F389</f>
        <v>#N/A</v>
      </c>
      <c r="D389" s="13" t="e">
        <f>VLOOKUP(A389,data!A:D,4,FALSE)</f>
        <v>#N/A</v>
      </c>
      <c r="E389" s="13" t="e">
        <f>VLOOKUP(A389,data!A:E,5,FALSE)</f>
        <v>#N/A</v>
      </c>
      <c r="F389" s="15" t="e">
        <f>VLOOKUP(A389,LineItems!D:I,6,FALSE) / VLOOKUP(A389,LineItems!D:I,5,FALSE)</f>
        <v>#N/A</v>
      </c>
      <c r="G389" s="16" t="e">
        <f xml:space="preserve"> IF((VLOOKUP(A389,data!A:C,3,FALSE)-F389)=0,"No Change","Price Changed")</f>
        <v>#N/A</v>
      </c>
    </row>
    <row r="390" spans="2:7" x14ac:dyDescent="0.2">
      <c r="B390" s="13" t="e">
        <f>VLOOKUP(A390,LineItems!D:E,2,FALSE)</f>
        <v>#N/A</v>
      </c>
      <c r="C390" s="14" t="e">
        <f>F390</f>
        <v>#N/A</v>
      </c>
      <c r="D390" s="13" t="e">
        <f>VLOOKUP(A390,data!A:D,4,FALSE)</f>
        <v>#N/A</v>
      </c>
      <c r="E390" s="13" t="e">
        <f>VLOOKUP(A390,data!A:E,5,FALSE)</f>
        <v>#N/A</v>
      </c>
      <c r="F390" s="15" t="e">
        <f>VLOOKUP(A390,LineItems!D:I,6,FALSE) / VLOOKUP(A390,LineItems!D:I,5,FALSE)</f>
        <v>#N/A</v>
      </c>
      <c r="G390" s="16" t="e">
        <f xml:space="preserve"> IF((VLOOKUP(A390,data!A:C,3,FALSE)-F390)=0,"No Change","Price Changed")</f>
        <v>#N/A</v>
      </c>
    </row>
    <row r="391" spans="2:7" x14ac:dyDescent="0.2">
      <c r="B391" s="13" t="e">
        <f>VLOOKUP(A391,LineItems!D:E,2,FALSE)</f>
        <v>#N/A</v>
      </c>
      <c r="C391" s="14" t="e">
        <f>F391</f>
        <v>#N/A</v>
      </c>
      <c r="D391" s="13" t="e">
        <f>VLOOKUP(A391,data!A:D,4,FALSE)</f>
        <v>#N/A</v>
      </c>
      <c r="E391" s="13" t="e">
        <f>VLOOKUP(A391,data!A:E,5,FALSE)</f>
        <v>#N/A</v>
      </c>
      <c r="F391" s="15" t="e">
        <f>VLOOKUP(A391,LineItems!D:I,6,FALSE) / VLOOKUP(A391,LineItems!D:I,5,FALSE)</f>
        <v>#N/A</v>
      </c>
      <c r="G391" s="16" t="e">
        <f xml:space="preserve"> IF((VLOOKUP(A391,data!A:C,3,FALSE)-F391)=0,"No Change","Price Changed")</f>
        <v>#N/A</v>
      </c>
    </row>
    <row r="392" spans="2:7" x14ac:dyDescent="0.2">
      <c r="B392" s="13" t="e">
        <f>VLOOKUP(A392,LineItems!D:E,2,FALSE)</f>
        <v>#N/A</v>
      </c>
      <c r="C392" s="14" t="e">
        <f>F392</f>
        <v>#N/A</v>
      </c>
      <c r="D392" s="13" t="e">
        <f>VLOOKUP(A392,data!A:D,4,FALSE)</f>
        <v>#N/A</v>
      </c>
      <c r="E392" s="13" t="e">
        <f>VLOOKUP(A392,data!A:E,5,FALSE)</f>
        <v>#N/A</v>
      </c>
      <c r="F392" s="15" t="e">
        <f>VLOOKUP(A392,LineItems!D:I,6,FALSE) / VLOOKUP(A392,LineItems!D:I,5,FALSE)</f>
        <v>#N/A</v>
      </c>
      <c r="G392" s="16" t="e">
        <f xml:space="preserve"> IF((VLOOKUP(A392,data!A:C,3,FALSE)-F392)=0,"No Change","Price Changed")</f>
        <v>#N/A</v>
      </c>
    </row>
    <row r="393" spans="2:7" x14ac:dyDescent="0.2">
      <c r="B393" s="13" t="e">
        <f>VLOOKUP(A393,LineItems!D:E,2,FALSE)</f>
        <v>#N/A</v>
      </c>
      <c r="C393" s="14" t="e">
        <f>F393</f>
        <v>#N/A</v>
      </c>
      <c r="D393" s="13" t="e">
        <f>VLOOKUP(A393,data!A:D,4,FALSE)</f>
        <v>#N/A</v>
      </c>
      <c r="E393" s="13" t="e">
        <f>VLOOKUP(A393,data!A:E,5,FALSE)</f>
        <v>#N/A</v>
      </c>
      <c r="F393" s="15" t="e">
        <f>VLOOKUP(A393,LineItems!D:I,6,FALSE) / VLOOKUP(A393,LineItems!D:I,5,FALSE)</f>
        <v>#N/A</v>
      </c>
      <c r="G393" s="16" t="e">
        <f xml:space="preserve"> IF((VLOOKUP(A393,data!A:C,3,FALSE)-F393)=0,"No Change","Price Changed")</f>
        <v>#N/A</v>
      </c>
    </row>
    <row r="394" spans="2:7" x14ac:dyDescent="0.2">
      <c r="B394" s="13" t="e">
        <f>VLOOKUP(A394,LineItems!D:E,2,FALSE)</f>
        <v>#N/A</v>
      </c>
      <c r="C394" s="14" t="e">
        <f>F394</f>
        <v>#N/A</v>
      </c>
      <c r="D394" s="13" t="e">
        <f>VLOOKUP(A394,data!A:D,4,FALSE)</f>
        <v>#N/A</v>
      </c>
      <c r="E394" s="13" t="e">
        <f>VLOOKUP(A394,data!A:E,5,FALSE)</f>
        <v>#N/A</v>
      </c>
      <c r="F394" s="15" t="e">
        <f>VLOOKUP(A394,LineItems!D:I,6,FALSE) / VLOOKUP(A394,LineItems!D:I,5,FALSE)</f>
        <v>#N/A</v>
      </c>
      <c r="G394" s="16" t="e">
        <f xml:space="preserve"> IF((VLOOKUP(A394,data!A:C,3,FALSE)-F394)=0,"No Change","Price Changed")</f>
        <v>#N/A</v>
      </c>
    </row>
    <row r="395" spans="2:7" x14ac:dyDescent="0.2">
      <c r="B395" s="13" t="e">
        <f>VLOOKUP(A395,LineItems!D:E,2,FALSE)</f>
        <v>#N/A</v>
      </c>
      <c r="C395" s="14" t="e">
        <f>F395</f>
        <v>#N/A</v>
      </c>
      <c r="D395" s="13" t="e">
        <f>VLOOKUP(A395,data!A:D,4,FALSE)</f>
        <v>#N/A</v>
      </c>
      <c r="E395" s="13" t="e">
        <f>VLOOKUP(A395,data!A:E,5,FALSE)</f>
        <v>#N/A</v>
      </c>
      <c r="F395" s="15" t="e">
        <f>VLOOKUP(A395,LineItems!D:I,6,FALSE) / VLOOKUP(A395,LineItems!D:I,5,FALSE)</f>
        <v>#N/A</v>
      </c>
      <c r="G395" s="16" t="e">
        <f xml:space="preserve"> IF((VLOOKUP(A395,data!A:C,3,FALSE)-F395)=0,"No Change","Price Changed")</f>
        <v>#N/A</v>
      </c>
    </row>
    <row r="396" spans="2:7" x14ac:dyDescent="0.2">
      <c r="B396" s="13" t="e">
        <f>VLOOKUP(A396,LineItems!D:E,2,FALSE)</f>
        <v>#N/A</v>
      </c>
      <c r="C396" s="14" t="e">
        <f>F396</f>
        <v>#N/A</v>
      </c>
      <c r="D396" s="13" t="e">
        <f>VLOOKUP(A396,data!A:D,4,FALSE)</f>
        <v>#N/A</v>
      </c>
      <c r="E396" s="13" t="e">
        <f>VLOOKUP(A396,data!A:E,5,FALSE)</f>
        <v>#N/A</v>
      </c>
      <c r="F396" s="15" t="e">
        <f>VLOOKUP(A396,LineItems!D:I,6,FALSE) / VLOOKUP(A396,LineItems!D:I,5,FALSE)</f>
        <v>#N/A</v>
      </c>
      <c r="G396" s="16" t="e">
        <f xml:space="preserve"> IF((VLOOKUP(A396,data!A:C,3,FALSE)-F396)=0,"No Change","Price Changed")</f>
        <v>#N/A</v>
      </c>
    </row>
    <row r="397" spans="2:7" x14ac:dyDescent="0.2">
      <c r="B397" s="13" t="e">
        <f>VLOOKUP(A397,LineItems!D:E,2,FALSE)</f>
        <v>#N/A</v>
      </c>
      <c r="C397" s="14" t="e">
        <f>F397</f>
        <v>#N/A</v>
      </c>
      <c r="D397" s="13" t="e">
        <f>VLOOKUP(A397,data!A:D,4,FALSE)</f>
        <v>#N/A</v>
      </c>
      <c r="E397" s="13" t="e">
        <f>VLOOKUP(A397,data!A:E,5,FALSE)</f>
        <v>#N/A</v>
      </c>
      <c r="F397" s="15" t="e">
        <f>VLOOKUP(A397,LineItems!D:I,6,FALSE) / VLOOKUP(A397,LineItems!D:I,5,FALSE)</f>
        <v>#N/A</v>
      </c>
      <c r="G397" s="16" t="e">
        <f xml:space="preserve"> IF((VLOOKUP(A397,data!A:C,3,FALSE)-F397)=0,"No Change","Price Changed")</f>
        <v>#N/A</v>
      </c>
    </row>
    <row r="398" spans="2:7" x14ac:dyDescent="0.2">
      <c r="B398" s="13" t="e">
        <f>VLOOKUP(A398,LineItems!D:E,2,FALSE)</f>
        <v>#N/A</v>
      </c>
      <c r="C398" s="14" t="e">
        <f>F398</f>
        <v>#N/A</v>
      </c>
      <c r="D398" s="13" t="e">
        <f>VLOOKUP(A398,data!A:D,4,FALSE)</f>
        <v>#N/A</v>
      </c>
      <c r="E398" s="13" t="e">
        <f>VLOOKUP(A398,data!A:E,5,FALSE)</f>
        <v>#N/A</v>
      </c>
      <c r="F398" s="15" t="e">
        <f>VLOOKUP(A398,LineItems!D:I,6,FALSE) / VLOOKUP(A398,LineItems!D:I,5,FALSE)</f>
        <v>#N/A</v>
      </c>
      <c r="G398" s="16" t="e">
        <f xml:space="preserve"> IF((VLOOKUP(A398,data!A:C,3,FALSE)-F398)=0,"No Change","Price Changed")</f>
        <v>#N/A</v>
      </c>
    </row>
    <row r="399" spans="2:7" x14ac:dyDescent="0.2">
      <c r="B399" s="13" t="e">
        <f>VLOOKUP(A399,LineItems!D:E,2,FALSE)</f>
        <v>#N/A</v>
      </c>
      <c r="C399" s="14" t="e">
        <f>F399</f>
        <v>#N/A</v>
      </c>
      <c r="D399" s="13" t="e">
        <f>VLOOKUP(A399,data!A:D,4,FALSE)</f>
        <v>#N/A</v>
      </c>
      <c r="E399" s="13" t="e">
        <f>VLOOKUP(A399,data!A:E,5,FALSE)</f>
        <v>#N/A</v>
      </c>
      <c r="F399" s="15" t="e">
        <f>VLOOKUP(A399,LineItems!D:I,6,FALSE) / VLOOKUP(A399,LineItems!D:I,5,FALSE)</f>
        <v>#N/A</v>
      </c>
      <c r="G399" s="16" t="e">
        <f xml:space="preserve"> IF((VLOOKUP(A399,data!A:C,3,FALSE)-F399)=0,"No Change","Price Changed")</f>
        <v>#N/A</v>
      </c>
    </row>
    <row r="400" spans="2:7" x14ac:dyDescent="0.2">
      <c r="B400" s="13" t="e">
        <f>VLOOKUP(A400,LineItems!D:E,2,FALSE)</f>
        <v>#N/A</v>
      </c>
      <c r="C400" s="14" t="e">
        <f>F400</f>
        <v>#N/A</v>
      </c>
      <c r="D400" s="13" t="e">
        <f>VLOOKUP(A400,data!A:D,4,FALSE)</f>
        <v>#N/A</v>
      </c>
      <c r="E400" s="13" t="e">
        <f>VLOOKUP(A400,data!A:E,5,FALSE)</f>
        <v>#N/A</v>
      </c>
      <c r="F400" s="15" t="e">
        <f>VLOOKUP(A400,LineItems!D:I,6,FALSE) / VLOOKUP(A400,LineItems!D:I,5,FALSE)</f>
        <v>#N/A</v>
      </c>
      <c r="G400" s="16" t="e">
        <f xml:space="preserve"> IF((VLOOKUP(A400,data!A:C,3,FALSE)-F400)=0,"No Change","Price Changed")</f>
        <v>#N/A</v>
      </c>
    </row>
    <row r="401" spans="2:7" x14ac:dyDescent="0.2">
      <c r="B401" s="13" t="e">
        <f>VLOOKUP(A401,LineItems!D:E,2,FALSE)</f>
        <v>#N/A</v>
      </c>
      <c r="C401" s="14" t="e">
        <f>F401</f>
        <v>#N/A</v>
      </c>
      <c r="D401" s="13" t="e">
        <f>VLOOKUP(A401,data!A:D,4,FALSE)</f>
        <v>#N/A</v>
      </c>
      <c r="E401" s="13" t="e">
        <f>VLOOKUP(A401,data!A:E,5,FALSE)</f>
        <v>#N/A</v>
      </c>
      <c r="F401" s="15" t="e">
        <f>VLOOKUP(A401,LineItems!D:I,6,FALSE) / VLOOKUP(A401,LineItems!D:I,5,FALSE)</f>
        <v>#N/A</v>
      </c>
      <c r="G401" s="16" t="e">
        <f xml:space="preserve"> IF((VLOOKUP(A401,data!A:C,3,FALSE)-F401)=0,"No Change","Price Changed")</f>
        <v>#N/A</v>
      </c>
    </row>
    <row r="402" spans="2:7" x14ac:dyDescent="0.2">
      <c r="B402" s="13" t="e">
        <f>VLOOKUP(A402,LineItems!D:E,2,FALSE)</f>
        <v>#N/A</v>
      </c>
      <c r="C402" s="14" t="e">
        <f>F402</f>
        <v>#N/A</v>
      </c>
      <c r="D402" s="13" t="e">
        <f>VLOOKUP(A402,data!A:D,4,FALSE)</f>
        <v>#N/A</v>
      </c>
      <c r="E402" s="13" t="e">
        <f>VLOOKUP(A402,data!A:E,5,FALSE)</f>
        <v>#N/A</v>
      </c>
      <c r="F402" s="15" t="e">
        <f>VLOOKUP(A402,LineItems!D:I,6,FALSE) / VLOOKUP(A402,LineItems!D:I,5,FALSE)</f>
        <v>#N/A</v>
      </c>
      <c r="G402" s="16" t="e">
        <f xml:space="preserve"> IF((VLOOKUP(A402,data!A:C,3,FALSE)-F402)=0,"No Change","Price Changed")</f>
        <v>#N/A</v>
      </c>
    </row>
    <row r="403" spans="2:7" x14ac:dyDescent="0.2">
      <c r="B403" s="13" t="e">
        <f>VLOOKUP(A403,LineItems!D:E,2,FALSE)</f>
        <v>#N/A</v>
      </c>
      <c r="C403" s="14" t="e">
        <f>F403</f>
        <v>#N/A</v>
      </c>
      <c r="D403" s="13" t="e">
        <f>VLOOKUP(A403,data!A:D,4,FALSE)</f>
        <v>#N/A</v>
      </c>
      <c r="E403" s="13" t="e">
        <f>VLOOKUP(A403,data!A:E,5,FALSE)</f>
        <v>#N/A</v>
      </c>
      <c r="F403" s="15" t="e">
        <f>VLOOKUP(A403,LineItems!D:I,6,FALSE) / VLOOKUP(A403,LineItems!D:I,5,FALSE)</f>
        <v>#N/A</v>
      </c>
      <c r="G403" s="16" t="e">
        <f xml:space="preserve"> IF((VLOOKUP(A403,data!A:C,3,FALSE)-F403)=0,"No Change","Price Changed")</f>
        <v>#N/A</v>
      </c>
    </row>
    <row r="404" spans="2:7" x14ac:dyDescent="0.2">
      <c r="B404" s="13" t="e">
        <f>VLOOKUP(A404,LineItems!D:E,2,FALSE)</f>
        <v>#N/A</v>
      </c>
      <c r="C404" s="14" t="e">
        <f>F404</f>
        <v>#N/A</v>
      </c>
      <c r="D404" s="13" t="e">
        <f>VLOOKUP(A404,data!A:D,4,FALSE)</f>
        <v>#N/A</v>
      </c>
      <c r="E404" s="13" t="e">
        <f>VLOOKUP(A404,data!A:E,5,FALSE)</f>
        <v>#N/A</v>
      </c>
      <c r="F404" s="15" t="e">
        <f>VLOOKUP(A404,LineItems!D:I,6,FALSE) / VLOOKUP(A404,LineItems!D:I,5,FALSE)</f>
        <v>#N/A</v>
      </c>
      <c r="G404" s="16" t="e">
        <f xml:space="preserve"> IF((VLOOKUP(A404,data!A:C,3,FALSE)-F404)=0,"No Change","Price Changed")</f>
        <v>#N/A</v>
      </c>
    </row>
    <row r="405" spans="2:7" x14ac:dyDescent="0.2">
      <c r="B405" s="13" t="e">
        <f>VLOOKUP(A405,LineItems!D:E,2,FALSE)</f>
        <v>#N/A</v>
      </c>
      <c r="C405" s="14" t="e">
        <f>F405</f>
        <v>#N/A</v>
      </c>
      <c r="D405" s="13" t="e">
        <f>VLOOKUP(A405,data!A:D,4,FALSE)</f>
        <v>#N/A</v>
      </c>
      <c r="E405" s="13" t="e">
        <f>VLOOKUP(A405,data!A:E,5,FALSE)</f>
        <v>#N/A</v>
      </c>
      <c r="F405" s="15" t="e">
        <f>VLOOKUP(A405,LineItems!D:I,6,FALSE) / VLOOKUP(A405,LineItems!D:I,5,FALSE)</f>
        <v>#N/A</v>
      </c>
      <c r="G405" s="16" t="e">
        <f xml:space="preserve"> IF((VLOOKUP(A405,data!A:C,3,FALSE)-F405)=0,"No Change","Price Changed")</f>
        <v>#N/A</v>
      </c>
    </row>
    <row r="406" spans="2:7" x14ac:dyDescent="0.2">
      <c r="B406" s="13" t="e">
        <f>VLOOKUP(A406,LineItems!D:E,2,FALSE)</f>
        <v>#N/A</v>
      </c>
      <c r="C406" s="14" t="e">
        <f>F406</f>
        <v>#N/A</v>
      </c>
      <c r="D406" s="13" t="e">
        <f>VLOOKUP(A406,data!A:D,4,FALSE)</f>
        <v>#N/A</v>
      </c>
      <c r="E406" s="13" t="e">
        <f>VLOOKUP(A406,data!A:E,5,FALSE)</f>
        <v>#N/A</v>
      </c>
      <c r="F406" s="15" t="e">
        <f>VLOOKUP(A406,LineItems!D:I,6,FALSE) / VLOOKUP(A406,LineItems!D:I,5,FALSE)</f>
        <v>#N/A</v>
      </c>
      <c r="G406" s="16" t="e">
        <f xml:space="preserve"> IF((VLOOKUP(A406,data!A:C,3,FALSE)-F406)=0,"No Change","Price Changed")</f>
        <v>#N/A</v>
      </c>
    </row>
    <row r="407" spans="2:7" x14ac:dyDescent="0.2">
      <c r="B407" s="13" t="e">
        <f>VLOOKUP(A407,LineItems!D:E,2,FALSE)</f>
        <v>#N/A</v>
      </c>
      <c r="C407" s="14" t="e">
        <f>F407</f>
        <v>#N/A</v>
      </c>
      <c r="D407" s="13" t="e">
        <f>VLOOKUP(A407,data!A:D,4,FALSE)</f>
        <v>#N/A</v>
      </c>
      <c r="E407" s="13" t="e">
        <f>VLOOKUP(A407,data!A:E,5,FALSE)</f>
        <v>#N/A</v>
      </c>
      <c r="F407" s="15" t="e">
        <f>VLOOKUP(A407,LineItems!D:I,6,FALSE) / VLOOKUP(A407,LineItems!D:I,5,FALSE)</f>
        <v>#N/A</v>
      </c>
      <c r="G407" s="16" t="e">
        <f xml:space="preserve"> IF((VLOOKUP(A407,data!A:C,3,FALSE)-F407)=0,"No Change","Price Changed")</f>
        <v>#N/A</v>
      </c>
    </row>
    <row r="408" spans="2:7" x14ac:dyDescent="0.2">
      <c r="B408" s="13" t="e">
        <f>VLOOKUP(A408,LineItems!D:E,2,FALSE)</f>
        <v>#N/A</v>
      </c>
      <c r="C408" s="14" t="e">
        <f>F408</f>
        <v>#N/A</v>
      </c>
      <c r="D408" s="13" t="e">
        <f>VLOOKUP(A408,data!A:D,4,FALSE)</f>
        <v>#N/A</v>
      </c>
      <c r="E408" s="13" t="e">
        <f>VLOOKUP(A408,data!A:E,5,FALSE)</f>
        <v>#N/A</v>
      </c>
      <c r="F408" s="15" t="e">
        <f>VLOOKUP(A408,LineItems!D:I,6,FALSE) / VLOOKUP(A408,LineItems!D:I,5,FALSE)</f>
        <v>#N/A</v>
      </c>
      <c r="G408" s="16" t="e">
        <f xml:space="preserve"> IF((VLOOKUP(A408,data!A:C,3,FALSE)-F408)=0,"No Change","Price Changed")</f>
        <v>#N/A</v>
      </c>
    </row>
    <row r="409" spans="2:7" x14ac:dyDescent="0.2">
      <c r="B409" s="13" t="e">
        <f>VLOOKUP(A409,LineItems!D:E,2,FALSE)</f>
        <v>#N/A</v>
      </c>
      <c r="C409" s="14" t="e">
        <f>F409</f>
        <v>#N/A</v>
      </c>
      <c r="D409" s="13" t="e">
        <f>VLOOKUP(A409,data!A:D,4,FALSE)</f>
        <v>#N/A</v>
      </c>
      <c r="E409" s="13" t="e">
        <f>VLOOKUP(A409,data!A:E,5,FALSE)</f>
        <v>#N/A</v>
      </c>
      <c r="F409" s="15" t="e">
        <f>VLOOKUP(A409,LineItems!D:I,6,FALSE) / VLOOKUP(A409,LineItems!D:I,5,FALSE)</f>
        <v>#N/A</v>
      </c>
      <c r="G409" s="16" t="e">
        <f xml:space="preserve"> IF((VLOOKUP(A409,data!A:C,3,FALSE)-F409)=0,"No Change","Price Changed")</f>
        <v>#N/A</v>
      </c>
    </row>
    <row r="410" spans="2:7" x14ac:dyDescent="0.2">
      <c r="B410" s="13" t="e">
        <f>VLOOKUP(A410,LineItems!D:E,2,FALSE)</f>
        <v>#N/A</v>
      </c>
      <c r="C410" s="14" t="e">
        <f>F410</f>
        <v>#N/A</v>
      </c>
      <c r="D410" s="13" t="e">
        <f>VLOOKUP(A410,data!A:D,4,FALSE)</f>
        <v>#N/A</v>
      </c>
      <c r="E410" s="13" t="e">
        <f>VLOOKUP(A410,data!A:E,5,FALSE)</f>
        <v>#N/A</v>
      </c>
      <c r="F410" s="15" t="e">
        <f>VLOOKUP(A410,LineItems!D:I,6,FALSE) / VLOOKUP(A410,LineItems!D:I,5,FALSE)</f>
        <v>#N/A</v>
      </c>
      <c r="G410" s="16" t="e">
        <f xml:space="preserve"> IF((VLOOKUP(A410,data!A:C,3,FALSE)-F410)=0,"No Change","Price Changed")</f>
        <v>#N/A</v>
      </c>
    </row>
    <row r="411" spans="2:7" x14ac:dyDescent="0.2">
      <c r="B411" s="13" t="e">
        <f>VLOOKUP(A411,LineItems!D:E,2,FALSE)</f>
        <v>#N/A</v>
      </c>
      <c r="C411" s="14" t="e">
        <f>F411</f>
        <v>#N/A</v>
      </c>
      <c r="D411" s="13" t="e">
        <f>VLOOKUP(A411,data!A:D,4,FALSE)</f>
        <v>#N/A</v>
      </c>
      <c r="E411" s="13" t="e">
        <f>VLOOKUP(A411,data!A:E,5,FALSE)</f>
        <v>#N/A</v>
      </c>
      <c r="F411" s="15" t="e">
        <f>VLOOKUP(A411,LineItems!D:I,6,FALSE) / VLOOKUP(A411,LineItems!D:I,5,FALSE)</f>
        <v>#N/A</v>
      </c>
      <c r="G411" s="16" t="e">
        <f xml:space="preserve"> IF((VLOOKUP(A411,data!A:C,3,FALSE)-F411)=0,"No Change","Price Changed")</f>
        <v>#N/A</v>
      </c>
    </row>
    <row r="412" spans="2:7" x14ac:dyDescent="0.2">
      <c r="B412" s="13" t="e">
        <f>VLOOKUP(A412,LineItems!D:E,2,FALSE)</f>
        <v>#N/A</v>
      </c>
      <c r="C412" s="14" t="e">
        <f>F412</f>
        <v>#N/A</v>
      </c>
      <c r="D412" s="13" t="e">
        <f>VLOOKUP(A412,data!A:D,4,FALSE)</f>
        <v>#N/A</v>
      </c>
      <c r="E412" s="13" t="e">
        <f>VLOOKUP(A412,data!A:E,5,FALSE)</f>
        <v>#N/A</v>
      </c>
      <c r="F412" s="15" t="e">
        <f>VLOOKUP(A412,LineItems!D:I,6,FALSE) / VLOOKUP(A412,LineItems!D:I,5,FALSE)</f>
        <v>#N/A</v>
      </c>
      <c r="G412" s="16" t="e">
        <f xml:space="preserve"> IF((VLOOKUP(A412,data!A:C,3,FALSE)-F412)=0,"No Change","Price Changed")</f>
        <v>#N/A</v>
      </c>
    </row>
    <row r="413" spans="2:7" x14ac:dyDescent="0.2">
      <c r="B413" s="13" t="e">
        <f>VLOOKUP(A413,LineItems!D:E,2,FALSE)</f>
        <v>#N/A</v>
      </c>
      <c r="C413" s="14" t="e">
        <f>F413</f>
        <v>#N/A</v>
      </c>
      <c r="D413" s="13" t="e">
        <f>VLOOKUP(A413,data!A:D,4,FALSE)</f>
        <v>#N/A</v>
      </c>
      <c r="E413" s="13" t="e">
        <f>VLOOKUP(A413,data!A:E,5,FALSE)</f>
        <v>#N/A</v>
      </c>
      <c r="F413" s="15" t="e">
        <f>VLOOKUP(A413,LineItems!D:I,6,FALSE) / VLOOKUP(A413,LineItems!D:I,5,FALSE)</f>
        <v>#N/A</v>
      </c>
      <c r="G413" s="16" t="e">
        <f xml:space="preserve"> IF((VLOOKUP(A413,data!A:C,3,FALSE)-F413)=0,"No Change","Price Changed")</f>
        <v>#N/A</v>
      </c>
    </row>
    <row r="414" spans="2:7" x14ac:dyDescent="0.2">
      <c r="B414" s="13" t="e">
        <f>VLOOKUP(A414,LineItems!D:E,2,FALSE)</f>
        <v>#N/A</v>
      </c>
      <c r="C414" s="14" t="e">
        <f>F414</f>
        <v>#N/A</v>
      </c>
      <c r="D414" s="13" t="e">
        <f>VLOOKUP(A414,data!A:D,4,FALSE)</f>
        <v>#N/A</v>
      </c>
      <c r="E414" s="13" t="e">
        <f>VLOOKUP(A414,data!A:E,5,FALSE)</f>
        <v>#N/A</v>
      </c>
      <c r="F414" s="15" t="e">
        <f>VLOOKUP(A414,LineItems!D:I,6,FALSE) / VLOOKUP(A414,LineItems!D:I,5,FALSE)</f>
        <v>#N/A</v>
      </c>
      <c r="G414" s="16" t="e">
        <f xml:space="preserve"> IF((VLOOKUP(A414,data!A:C,3,FALSE)-F414)=0,"No Change","Price Changed")</f>
        <v>#N/A</v>
      </c>
    </row>
    <row r="415" spans="2:7" x14ac:dyDescent="0.2">
      <c r="B415" s="13" t="e">
        <f>VLOOKUP(A415,LineItems!D:E,2,FALSE)</f>
        <v>#N/A</v>
      </c>
      <c r="C415" s="14" t="e">
        <f>F415</f>
        <v>#N/A</v>
      </c>
      <c r="D415" s="13" t="e">
        <f>VLOOKUP(A415,data!A:D,4,FALSE)</f>
        <v>#N/A</v>
      </c>
      <c r="E415" s="13" t="e">
        <f>VLOOKUP(A415,data!A:E,5,FALSE)</f>
        <v>#N/A</v>
      </c>
      <c r="F415" s="15" t="e">
        <f>VLOOKUP(A415,LineItems!D:I,6,FALSE) / VLOOKUP(A415,LineItems!D:I,5,FALSE)</f>
        <v>#N/A</v>
      </c>
      <c r="G415" s="16" t="e">
        <f xml:space="preserve"> IF((VLOOKUP(A415,data!A:C,3,FALSE)-F415)=0,"No Change","Price Changed")</f>
        <v>#N/A</v>
      </c>
    </row>
    <row r="416" spans="2:7" x14ac:dyDescent="0.2">
      <c r="B416" s="13" t="e">
        <f>VLOOKUP(A416,LineItems!D:E,2,FALSE)</f>
        <v>#N/A</v>
      </c>
      <c r="C416" s="14" t="e">
        <f>F416</f>
        <v>#N/A</v>
      </c>
      <c r="D416" s="13" t="e">
        <f>VLOOKUP(A416,data!A:D,4,FALSE)</f>
        <v>#N/A</v>
      </c>
      <c r="E416" s="13" t="e">
        <f>VLOOKUP(A416,data!A:E,5,FALSE)</f>
        <v>#N/A</v>
      </c>
      <c r="F416" s="15" t="e">
        <f>VLOOKUP(A416,LineItems!D:I,6,FALSE) / VLOOKUP(A416,LineItems!D:I,5,FALSE)</f>
        <v>#N/A</v>
      </c>
      <c r="G416" s="16" t="e">
        <f xml:space="preserve"> IF((VLOOKUP(A416,data!A:C,3,FALSE)-F416)=0,"No Change","Price Changed")</f>
        <v>#N/A</v>
      </c>
    </row>
    <row r="417" spans="2:7" x14ac:dyDescent="0.2">
      <c r="B417" s="13" t="e">
        <f>VLOOKUP(A417,LineItems!D:E,2,FALSE)</f>
        <v>#N/A</v>
      </c>
      <c r="C417" s="14" t="e">
        <f>F417</f>
        <v>#N/A</v>
      </c>
      <c r="D417" s="13" t="e">
        <f>VLOOKUP(A417,data!A:D,4,FALSE)</f>
        <v>#N/A</v>
      </c>
      <c r="E417" s="13" t="e">
        <f>VLOOKUP(A417,data!A:E,5,FALSE)</f>
        <v>#N/A</v>
      </c>
      <c r="F417" s="15" t="e">
        <f>VLOOKUP(A417,LineItems!D:I,6,FALSE) / VLOOKUP(A417,LineItems!D:I,5,FALSE)</f>
        <v>#N/A</v>
      </c>
      <c r="G417" s="16" t="e">
        <f xml:space="preserve"> IF((VLOOKUP(A417,data!A:C,3,FALSE)-F417)=0,"No Change","Price Changed")</f>
        <v>#N/A</v>
      </c>
    </row>
    <row r="418" spans="2:7" x14ac:dyDescent="0.2">
      <c r="B418" s="13" t="e">
        <f>VLOOKUP(A418,LineItems!D:E,2,FALSE)</f>
        <v>#N/A</v>
      </c>
      <c r="C418" s="14" t="e">
        <f>F418</f>
        <v>#N/A</v>
      </c>
      <c r="D418" s="13" t="e">
        <f>VLOOKUP(A418,data!A:D,4,FALSE)</f>
        <v>#N/A</v>
      </c>
      <c r="E418" s="13" t="e">
        <f>VLOOKUP(A418,data!A:E,5,FALSE)</f>
        <v>#N/A</v>
      </c>
      <c r="F418" s="15" t="e">
        <f>VLOOKUP(A418,LineItems!D:I,6,FALSE) / VLOOKUP(A418,LineItems!D:I,5,FALSE)</f>
        <v>#N/A</v>
      </c>
      <c r="G418" s="16" t="e">
        <f xml:space="preserve"> IF((VLOOKUP(A418,data!A:C,3,FALSE)-F418)=0,"No Change","Price Changed")</f>
        <v>#N/A</v>
      </c>
    </row>
    <row r="419" spans="2:7" x14ac:dyDescent="0.2">
      <c r="B419" s="13" t="e">
        <f>VLOOKUP(A419,LineItems!D:E,2,FALSE)</f>
        <v>#N/A</v>
      </c>
      <c r="C419" s="14" t="e">
        <f>F419</f>
        <v>#N/A</v>
      </c>
      <c r="D419" s="13" t="e">
        <f>VLOOKUP(A419,data!A:D,4,FALSE)</f>
        <v>#N/A</v>
      </c>
      <c r="E419" s="13" t="e">
        <f>VLOOKUP(A419,data!A:E,5,FALSE)</f>
        <v>#N/A</v>
      </c>
      <c r="F419" s="15" t="e">
        <f>VLOOKUP(A419,LineItems!D:I,6,FALSE) / VLOOKUP(A419,LineItems!D:I,5,FALSE)</f>
        <v>#N/A</v>
      </c>
      <c r="G419" s="16" t="e">
        <f xml:space="preserve"> IF((VLOOKUP(A419,data!A:C,3,FALSE)-F419)=0,"No Change","Price Changed")</f>
        <v>#N/A</v>
      </c>
    </row>
    <row r="420" spans="2:7" x14ac:dyDescent="0.2">
      <c r="B420" s="13" t="e">
        <f>VLOOKUP(A420,LineItems!D:E,2,FALSE)</f>
        <v>#N/A</v>
      </c>
      <c r="C420" s="14" t="e">
        <f>F420</f>
        <v>#N/A</v>
      </c>
      <c r="D420" s="13" t="e">
        <f>VLOOKUP(A420,data!A:D,4,FALSE)</f>
        <v>#N/A</v>
      </c>
      <c r="E420" s="13" t="e">
        <f>VLOOKUP(A420,data!A:E,5,FALSE)</f>
        <v>#N/A</v>
      </c>
      <c r="F420" s="15" t="e">
        <f>VLOOKUP(A420,LineItems!D:I,6,FALSE) / VLOOKUP(A420,LineItems!D:I,5,FALSE)</f>
        <v>#N/A</v>
      </c>
      <c r="G420" s="16" t="e">
        <f xml:space="preserve"> IF((VLOOKUP(A420,data!A:C,3,FALSE)-F420)=0,"No Change","Price Changed")</f>
        <v>#N/A</v>
      </c>
    </row>
    <row r="421" spans="2:7" x14ac:dyDescent="0.2">
      <c r="B421" s="13" t="e">
        <f>VLOOKUP(A421,LineItems!D:E,2,FALSE)</f>
        <v>#N/A</v>
      </c>
      <c r="C421" s="14" t="e">
        <f>F421</f>
        <v>#N/A</v>
      </c>
      <c r="D421" s="13" t="e">
        <f>VLOOKUP(A421,data!A:D,4,FALSE)</f>
        <v>#N/A</v>
      </c>
      <c r="E421" s="13" t="e">
        <f>VLOOKUP(A421,data!A:E,5,FALSE)</f>
        <v>#N/A</v>
      </c>
      <c r="F421" s="15" t="e">
        <f>VLOOKUP(A421,LineItems!D:I,6,FALSE) / VLOOKUP(A421,LineItems!D:I,5,FALSE)</f>
        <v>#N/A</v>
      </c>
      <c r="G421" s="16" t="e">
        <f xml:space="preserve"> IF((VLOOKUP(A421,data!A:C,3,FALSE)-F421)=0,"No Change","Price Changed")</f>
        <v>#N/A</v>
      </c>
    </row>
    <row r="422" spans="2:7" x14ac:dyDescent="0.2">
      <c r="B422" s="13" t="e">
        <f>VLOOKUP(A422,LineItems!D:E,2,FALSE)</f>
        <v>#N/A</v>
      </c>
      <c r="C422" s="14" t="e">
        <f>F422</f>
        <v>#N/A</v>
      </c>
      <c r="D422" s="13" t="e">
        <f>VLOOKUP(A422,data!A:D,4,FALSE)</f>
        <v>#N/A</v>
      </c>
      <c r="E422" s="13" t="e">
        <f>VLOOKUP(A422,data!A:E,5,FALSE)</f>
        <v>#N/A</v>
      </c>
      <c r="F422" s="15" t="e">
        <f>VLOOKUP(A422,LineItems!D:I,6,FALSE) / VLOOKUP(A422,LineItems!D:I,5,FALSE)</f>
        <v>#N/A</v>
      </c>
      <c r="G422" s="16" t="e">
        <f xml:space="preserve"> IF((VLOOKUP(A422,data!A:C,3,FALSE)-F422)=0,"No Change","Price Changed")</f>
        <v>#N/A</v>
      </c>
    </row>
    <row r="423" spans="2:7" x14ac:dyDescent="0.2">
      <c r="B423" s="13" t="e">
        <f>VLOOKUP(A423,LineItems!D:E,2,FALSE)</f>
        <v>#N/A</v>
      </c>
      <c r="C423" s="14" t="e">
        <f>F423</f>
        <v>#N/A</v>
      </c>
      <c r="D423" s="13" t="e">
        <f>VLOOKUP(A423,data!A:D,4,FALSE)</f>
        <v>#N/A</v>
      </c>
      <c r="E423" s="13" t="e">
        <f>VLOOKUP(A423,data!A:E,5,FALSE)</f>
        <v>#N/A</v>
      </c>
      <c r="F423" s="15" t="e">
        <f>VLOOKUP(A423,LineItems!D:I,6,FALSE) / VLOOKUP(A423,LineItems!D:I,5,FALSE)</f>
        <v>#N/A</v>
      </c>
      <c r="G423" s="16" t="e">
        <f xml:space="preserve"> IF((VLOOKUP(A423,data!A:C,3,FALSE)-F423)=0,"No Change","Price Changed")</f>
        <v>#N/A</v>
      </c>
    </row>
    <row r="424" spans="2:7" x14ac:dyDescent="0.2">
      <c r="B424" s="13" t="e">
        <f>VLOOKUP(A424,LineItems!D:E,2,FALSE)</f>
        <v>#N/A</v>
      </c>
      <c r="C424" s="14" t="e">
        <f>F424</f>
        <v>#N/A</v>
      </c>
      <c r="D424" s="13" t="e">
        <f>VLOOKUP(A424,data!A:D,4,FALSE)</f>
        <v>#N/A</v>
      </c>
      <c r="E424" s="13" t="e">
        <f>VLOOKUP(A424,data!A:E,5,FALSE)</f>
        <v>#N/A</v>
      </c>
      <c r="F424" s="15" t="e">
        <f>VLOOKUP(A424,LineItems!D:I,6,FALSE) / VLOOKUP(A424,LineItems!D:I,5,FALSE)</f>
        <v>#N/A</v>
      </c>
      <c r="G424" s="16" t="e">
        <f xml:space="preserve"> IF((VLOOKUP(A424,data!A:C,3,FALSE)-F424)=0,"No Change","Price Changed")</f>
        <v>#N/A</v>
      </c>
    </row>
    <row r="425" spans="2:7" x14ac:dyDescent="0.2">
      <c r="B425" s="13" t="e">
        <f>VLOOKUP(A425,LineItems!D:E,2,FALSE)</f>
        <v>#N/A</v>
      </c>
      <c r="C425" s="14" t="e">
        <f>F425</f>
        <v>#N/A</v>
      </c>
      <c r="D425" s="13" t="e">
        <f>VLOOKUP(A425,data!A:D,4,FALSE)</f>
        <v>#N/A</v>
      </c>
      <c r="E425" s="13" t="e">
        <f>VLOOKUP(A425,data!A:E,5,FALSE)</f>
        <v>#N/A</v>
      </c>
      <c r="F425" s="15" t="e">
        <f>VLOOKUP(A425,LineItems!D:I,6,FALSE) / VLOOKUP(A425,LineItems!D:I,5,FALSE)</f>
        <v>#N/A</v>
      </c>
      <c r="G425" s="16" t="e">
        <f xml:space="preserve"> IF((VLOOKUP(A425,data!A:C,3,FALSE)-F425)=0,"No Change","Price Changed")</f>
        <v>#N/A</v>
      </c>
    </row>
    <row r="426" spans="2:7" x14ac:dyDescent="0.2">
      <c r="B426" s="13" t="e">
        <f>VLOOKUP(A426,LineItems!D:E,2,FALSE)</f>
        <v>#N/A</v>
      </c>
      <c r="C426" s="14" t="e">
        <f>F426</f>
        <v>#N/A</v>
      </c>
      <c r="D426" s="13" t="e">
        <f>VLOOKUP(A426,data!A:D,4,FALSE)</f>
        <v>#N/A</v>
      </c>
      <c r="E426" s="13" t="e">
        <f>VLOOKUP(A426,data!A:E,5,FALSE)</f>
        <v>#N/A</v>
      </c>
      <c r="F426" s="15" t="e">
        <f>VLOOKUP(A426,LineItems!D:I,6,FALSE) / VLOOKUP(A426,LineItems!D:I,5,FALSE)</f>
        <v>#N/A</v>
      </c>
      <c r="G426" s="16" t="e">
        <f xml:space="preserve"> IF((VLOOKUP(A426,data!A:C,3,FALSE)-F426)=0,"No Change","Price Changed")</f>
        <v>#N/A</v>
      </c>
    </row>
    <row r="427" spans="2:7" x14ac:dyDescent="0.2">
      <c r="B427" s="13" t="e">
        <f>VLOOKUP(A427,LineItems!D:E,2,FALSE)</f>
        <v>#N/A</v>
      </c>
      <c r="C427" s="14" t="e">
        <f>F427</f>
        <v>#N/A</v>
      </c>
      <c r="D427" s="13" t="e">
        <f>VLOOKUP(A427,data!A:D,4,FALSE)</f>
        <v>#N/A</v>
      </c>
      <c r="E427" s="13" t="e">
        <f>VLOOKUP(A427,data!A:E,5,FALSE)</f>
        <v>#N/A</v>
      </c>
      <c r="F427" s="15" t="e">
        <f>VLOOKUP(A427,LineItems!D:I,6,FALSE) / VLOOKUP(A427,LineItems!D:I,5,FALSE)</f>
        <v>#N/A</v>
      </c>
      <c r="G427" s="16" t="e">
        <f xml:space="preserve"> IF((VLOOKUP(A427,data!A:C,3,FALSE)-F427)=0,"No Change","Price Changed")</f>
        <v>#N/A</v>
      </c>
    </row>
    <row r="428" spans="2:7" x14ac:dyDescent="0.2">
      <c r="B428" s="13" t="e">
        <f>VLOOKUP(A428,LineItems!D:E,2,FALSE)</f>
        <v>#N/A</v>
      </c>
      <c r="C428" s="14" t="e">
        <f>F428</f>
        <v>#N/A</v>
      </c>
      <c r="D428" s="13" t="e">
        <f>VLOOKUP(A428,data!A:D,4,FALSE)</f>
        <v>#N/A</v>
      </c>
      <c r="E428" s="13" t="e">
        <f>VLOOKUP(A428,data!A:E,5,FALSE)</f>
        <v>#N/A</v>
      </c>
      <c r="F428" s="15" t="e">
        <f>VLOOKUP(A428,LineItems!D:I,6,FALSE) / VLOOKUP(A428,LineItems!D:I,5,FALSE)</f>
        <v>#N/A</v>
      </c>
      <c r="G428" s="16" t="e">
        <f xml:space="preserve"> IF((VLOOKUP(A428,data!A:C,3,FALSE)-F428)=0,"No Change","Price Changed")</f>
        <v>#N/A</v>
      </c>
    </row>
    <row r="429" spans="2:7" x14ac:dyDescent="0.2">
      <c r="B429" s="13" t="e">
        <f>VLOOKUP(A429,LineItems!D:E,2,FALSE)</f>
        <v>#N/A</v>
      </c>
      <c r="C429" s="14" t="e">
        <f>F429</f>
        <v>#N/A</v>
      </c>
      <c r="D429" s="13" t="e">
        <f>VLOOKUP(A429,data!A:D,4,FALSE)</f>
        <v>#N/A</v>
      </c>
      <c r="E429" s="13" t="e">
        <f>VLOOKUP(A429,data!A:E,5,FALSE)</f>
        <v>#N/A</v>
      </c>
      <c r="F429" s="15" t="e">
        <f>VLOOKUP(A429,LineItems!D:I,6,FALSE) / VLOOKUP(A429,LineItems!D:I,5,FALSE)</f>
        <v>#N/A</v>
      </c>
      <c r="G429" s="16" t="e">
        <f xml:space="preserve"> IF((VLOOKUP(A429,data!A:C,3,FALSE)-F429)=0,"No Change","Price Changed")</f>
        <v>#N/A</v>
      </c>
    </row>
    <row r="430" spans="2:7" x14ac:dyDescent="0.2">
      <c r="B430" s="13" t="e">
        <f>VLOOKUP(A430,LineItems!D:E,2,FALSE)</f>
        <v>#N/A</v>
      </c>
      <c r="C430" s="14" t="e">
        <f>F430</f>
        <v>#N/A</v>
      </c>
      <c r="D430" s="13" t="e">
        <f>VLOOKUP(A430,data!A:D,4,FALSE)</f>
        <v>#N/A</v>
      </c>
      <c r="E430" s="13" t="e">
        <f>VLOOKUP(A430,data!A:E,5,FALSE)</f>
        <v>#N/A</v>
      </c>
      <c r="F430" s="15" t="e">
        <f>VLOOKUP(A430,LineItems!D:I,6,FALSE) / VLOOKUP(A430,LineItems!D:I,5,FALSE)</f>
        <v>#N/A</v>
      </c>
      <c r="G430" s="16" t="e">
        <f xml:space="preserve"> IF((VLOOKUP(A430,data!A:C,3,FALSE)-F430)=0,"No Change","Price Changed")</f>
        <v>#N/A</v>
      </c>
    </row>
    <row r="431" spans="2:7" x14ac:dyDescent="0.2">
      <c r="B431" s="13" t="e">
        <f>VLOOKUP(A431,LineItems!D:E,2,FALSE)</f>
        <v>#N/A</v>
      </c>
      <c r="C431" s="14" t="e">
        <f>F431</f>
        <v>#N/A</v>
      </c>
      <c r="D431" s="13" t="e">
        <f>VLOOKUP(A431,data!A:D,4,FALSE)</f>
        <v>#N/A</v>
      </c>
      <c r="E431" s="13" t="e">
        <f>VLOOKUP(A431,data!A:E,5,FALSE)</f>
        <v>#N/A</v>
      </c>
      <c r="F431" s="15" t="e">
        <f>VLOOKUP(A431,LineItems!D:I,6,FALSE) / VLOOKUP(A431,LineItems!D:I,5,FALSE)</f>
        <v>#N/A</v>
      </c>
      <c r="G431" s="16" t="e">
        <f xml:space="preserve"> IF((VLOOKUP(A431,data!A:C,3,FALSE)-F431)=0,"No Change","Price Changed")</f>
        <v>#N/A</v>
      </c>
    </row>
    <row r="432" spans="2:7" x14ac:dyDescent="0.2">
      <c r="B432" s="13" t="e">
        <f>VLOOKUP(A432,LineItems!D:E,2,FALSE)</f>
        <v>#N/A</v>
      </c>
      <c r="C432" s="14" t="e">
        <f>F432</f>
        <v>#N/A</v>
      </c>
      <c r="D432" s="13" t="e">
        <f>VLOOKUP(A432,data!A:D,4,FALSE)</f>
        <v>#N/A</v>
      </c>
      <c r="E432" s="13" t="e">
        <f>VLOOKUP(A432,data!A:E,5,FALSE)</f>
        <v>#N/A</v>
      </c>
      <c r="F432" s="15" t="e">
        <f>VLOOKUP(A432,LineItems!D:I,6,FALSE) / VLOOKUP(A432,LineItems!D:I,5,FALSE)</f>
        <v>#N/A</v>
      </c>
      <c r="G432" s="16" t="e">
        <f xml:space="preserve"> IF((VLOOKUP(A432,data!A:C,3,FALSE)-F432)=0,"No Change","Price Changed")</f>
        <v>#N/A</v>
      </c>
    </row>
    <row r="433" spans="2:7" x14ac:dyDescent="0.2">
      <c r="B433" s="13" t="e">
        <f>VLOOKUP(A433,LineItems!D:E,2,FALSE)</f>
        <v>#N/A</v>
      </c>
      <c r="C433" s="14" t="e">
        <f>F433</f>
        <v>#N/A</v>
      </c>
      <c r="D433" s="13" t="e">
        <f>VLOOKUP(A433,data!A:D,4,FALSE)</f>
        <v>#N/A</v>
      </c>
      <c r="E433" s="13" t="e">
        <f>VLOOKUP(A433,data!A:E,5,FALSE)</f>
        <v>#N/A</v>
      </c>
      <c r="F433" s="15" t="e">
        <f>VLOOKUP(A433,LineItems!D:I,6,FALSE) / VLOOKUP(A433,LineItems!D:I,5,FALSE)</f>
        <v>#N/A</v>
      </c>
      <c r="G433" s="16" t="e">
        <f xml:space="preserve"> IF((VLOOKUP(A433,data!A:C,3,FALSE)-F433)=0,"No Change","Price Changed")</f>
        <v>#N/A</v>
      </c>
    </row>
    <row r="434" spans="2:7" x14ac:dyDescent="0.2">
      <c r="B434" s="13" t="e">
        <f>VLOOKUP(A434,LineItems!D:E,2,FALSE)</f>
        <v>#N/A</v>
      </c>
      <c r="C434" s="14" t="e">
        <f>F434</f>
        <v>#N/A</v>
      </c>
      <c r="D434" s="13" t="e">
        <f>VLOOKUP(A434,data!A:D,4,FALSE)</f>
        <v>#N/A</v>
      </c>
      <c r="E434" s="13" t="e">
        <f>VLOOKUP(A434,data!A:E,5,FALSE)</f>
        <v>#N/A</v>
      </c>
      <c r="F434" s="15" t="e">
        <f>VLOOKUP(A434,LineItems!D:I,6,FALSE) / VLOOKUP(A434,LineItems!D:I,5,FALSE)</f>
        <v>#N/A</v>
      </c>
      <c r="G434" s="16" t="e">
        <f xml:space="preserve"> IF((VLOOKUP(A434,data!A:C,3,FALSE)-F434)=0,"No Change","Price Changed")</f>
        <v>#N/A</v>
      </c>
    </row>
    <row r="435" spans="2:7" x14ac:dyDescent="0.2">
      <c r="B435" s="13" t="e">
        <f>VLOOKUP(A435,LineItems!D:E,2,FALSE)</f>
        <v>#N/A</v>
      </c>
      <c r="C435" s="14" t="e">
        <f>F435</f>
        <v>#N/A</v>
      </c>
      <c r="D435" s="13" t="e">
        <f>VLOOKUP(A435,data!A:D,4,FALSE)</f>
        <v>#N/A</v>
      </c>
      <c r="E435" s="13" t="e">
        <f>VLOOKUP(A435,data!A:E,5,FALSE)</f>
        <v>#N/A</v>
      </c>
      <c r="F435" s="15" t="e">
        <f>VLOOKUP(A435,LineItems!D:I,6,FALSE) / VLOOKUP(A435,LineItems!D:I,5,FALSE)</f>
        <v>#N/A</v>
      </c>
      <c r="G435" s="16" t="e">
        <f xml:space="preserve"> IF((VLOOKUP(A435,data!A:C,3,FALSE)-F435)=0,"No Change","Price Changed")</f>
        <v>#N/A</v>
      </c>
    </row>
    <row r="436" spans="2:7" x14ac:dyDescent="0.2">
      <c r="B436" s="13" t="e">
        <f>VLOOKUP(A436,LineItems!D:E,2,FALSE)</f>
        <v>#N/A</v>
      </c>
      <c r="C436" s="14" t="e">
        <f>F436</f>
        <v>#N/A</v>
      </c>
      <c r="D436" s="13" t="e">
        <f>VLOOKUP(A436,data!A:D,4,FALSE)</f>
        <v>#N/A</v>
      </c>
      <c r="E436" s="13" t="e">
        <f>VLOOKUP(A436,data!A:E,5,FALSE)</f>
        <v>#N/A</v>
      </c>
      <c r="F436" s="15" t="e">
        <f>VLOOKUP(A436,LineItems!D:I,6,FALSE) / VLOOKUP(A436,LineItems!D:I,5,FALSE)</f>
        <v>#N/A</v>
      </c>
      <c r="G436" s="16" t="e">
        <f xml:space="preserve"> IF((VLOOKUP(A436,data!A:C,3,FALSE)-F436)=0,"No Change","Price Changed")</f>
        <v>#N/A</v>
      </c>
    </row>
    <row r="437" spans="2:7" x14ac:dyDescent="0.2">
      <c r="B437" s="13" t="e">
        <f>VLOOKUP(A437,LineItems!D:E,2,FALSE)</f>
        <v>#N/A</v>
      </c>
      <c r="C437" s="14" t="e">
        <f>F437</f>
        <v>#N/A</v>
      </c>
      <c r="D437" s="13" t="e">
        <f>VLOOKUP(A437,data!A:D,4,FALSE)</f>
        <v>#N/A</v>
      </c>
      <c r="E437" s="13" t="e">
        <f>VLOOKUP(A437,data!A:E,5,FALSE)</f>
        <v>#N/A</v>
      </c>
      <c r="F437" s="15" t="e">
        <f>VLOOKUP(A437,LineItems!D:I,6,FALSE) / VLOOKUP(A437,LineItems!D:I,5,FALSE)</f>
        <v>#N/A</v>
      </c>
      <c r="G437" s="16" t="e">
        <f xml:space="preserve"> IF((VLOOKUP(A437,data!A:C,3,FALSE)-F437)=0,"No Change","Price Changed")</f>
        <v>#N/A</v>
      </c>
    </row>
    <row r="438" spans="2:7" x14ac:dyDescent="0.2">
      <c r="B438" s="13" t="e">
        <f>VLOOKUP(A438,LineItems!D:E,2,FALSE)</f>
        <v>#N/A</v>
      </c>
      <c r="C438" s="14" t="e">
        <f>F438</f>
        <v>#N/A</v>
      </c>
      <c r="D438" s="13" t="e">
        <f>VLOOKUP(A438,data!A:D,4,FALSE)</f>
        <v>#N/A</v>
      </c>
      <c r="E438" s="13" t="e">
        <f>VLOOKUP(A438,data!A:E,5,FALSE)</f>
        <v>#N/A</v>
      </c>
      <c r="F438" s="15" t="e">
        <f>VLOOKUP(A438,LineItems!D:I,6,FALSE) / VLOOKUP(A438,LineItems!D:I,5,FALSE)</f>
        <v>#N/A</v>
      </c>
      <c r="G438" s="16" t="e">
        <f xml:space="preserve"> IF((VLOOKUP(A438,data!A:C,3,FALSE)-F438)=0,"No Change","Price Changed")</f>
        <v>#N/A</v>
      </c>
    </row>
    <row r="439" spans="2:7" x14ac:dyDescent="0.2">
      <c r="B439" s="13" t="e">
        <f>VLOOKUP(A439,LineItems!D:E,2,FALSE)</f>
        <v>#N/A</v>
      </c>
      <c r="C439" s="14" t="e">
        <f>F439</f>
        <v>#N/A</v>
      </c>
      <c r="D439" s="13" t="e">
        <f>VLOOKUP(A439,data!A:D,4,FALSE)</f>
        <v>#N/A</v>
      </c>
      <c r="E439" s="13" t="e">
        <f>VLOOKUP(A439,data!A:E,5,FALSE)</f>
        <v>#N/A</v>
      </c>
      <c r="F439" s="15" t="e">
        <f>VLOOKUP(A439,LineItems!D:I,6,FALSE) / VLOOKUP(A439,LineItems!D:I,5,FALSE)</f>
        <v>#N/A</v>
      </c>
      <c r="G439" s="16" t="e">
        <f xml:space="preserve"> IF((VLOOKUP(A439,data!A:C,3,FALSE)-F439)=0,"No Change","Price Changed")</f>
        <v>#N/A</v>
      </c>
    </row>
    <row r="440" spans="2:7" x14ac:dyDescent="0.2">
      <c r="B440" s="13" t="e">
        <f>VLOOKUP(A440,LineItems!D:E,2,FALSE)</f>
        <v>#N/A</v>
      </c>
      <c r="C440" s="14" t="e">
        <f>F440</f>
        <v>#N/A</v>
      </c>
      <c r="D440" s="13" t="e">
        <f>VLOOKUP(A440,data!A:D,4,FALSE)</f>
        <v>#N/A</v>
      </c>
      <c r="E440" s="13" t="e">
        <f>VLOOKUP(A440,data!A:E,5,FALSE)</f>
        <v>#N/A</v>
      </c>
      <c r="F440" s="15" t="e">
        <f>VLOOKUP(A440,LineItems!D:I,6,FALSE) / VLOOKUP(A440,LineItems!D:I,5,FALSE)</f>
        <v>#N/A</v>
      </c>
      <c r="G440" s="16" t="e">
        <f xml:space="preserve"> IF((VLOOKUP(A440,data!A:C,3,FALSE)-F440)=0,"No Change","Price Changed")</f>
        <v>#N/A</v>
      </c>
    </row>
    <row r="441" spans="2:7" x14ac:dyDescent="0.2">
      <c r="B441" s="13" t="e">
        <f>VLOOKUP(A441,LineItems!D:E,2,FALSE)</f>
        <v>#N/A</v>
      </c>
      <c r="C441" s="14" t="e">
        <f>F441</f>
        <v>#N/A</v>
      </c>
      <c r="D441" s="13" t="e">
        <f>VLOOKUP(A441,data!A:D,4,FALSE)</f>
        <v>#N/A</v>
      </c>
      <c r="E441" s="13" t="e">
        <f>VLOOKUP(A441,data!A:E,5,FALSE)</f>
        <v>#N/A</v>
      </c>
      <c r="F441" s="15" t="e">
        <f>VLOOKUP(A441,LineItems!D:I,6,FALSE) / VLOOKUP(A441,LineItems!D:I,5,FALSE)</f>
        <v>#N/A</v>
      </c>
      <c r="G441" s="16" t="e">
        <f xml:space="preserve"> IF((VLOOKUP(A441,data!A:C,3,FALSE)-F441)=0,"No Change","Price Changed")</f>
        <v>#N/A</v>
      </c>
    </row>
    <row r="442" spans="2:7" x14ac:dyDescent="0.2">
      <c r="B442" s="13" t="e">
        <f>VLOOKUP(A442,LineItems!D:E,2,FALSE)</f>
        <v>#N/A</v>
      </c>
      <c r="C442" s="14" t="e">
        <f>F442</f>
        <v>#N/A</v>
      </c>
      <c r="D442" s="13" t="e">
        <f>VLOOKUP(A442,data!A:D,4,FALSE)</f>
        <v>#N/A</v>
      </c>
      <c r="E442" s="13" t="e">
        <f>VLOOKUP(A442,data!A:E,5,FALSE)</f>
        <v>#N/A</v>
      </c>
      <c r="F442" s="15" t="e">
        <f>VLOOKUP(A442,LineItems!D:I,6,FALSE) / VLOOKUP(A442,LineItems!D:I,5,FALSE)</f>
        <v>#N/A</v>
      </c>
      <c r="G442" s="16" t="e">
        <f xml:space="preserve"> IF((VLOOKUP(A442,data!A:C,3,FALSE)-F442)=0,"No Change","Price Changed")</f>
        <v>#N/A</v>
      </c>
    </row>
    <row r="443" spans="2:7" x14ac:dyDescent="0.2">
      <c r="B443" s="13" t="e">
        <f>VLOOKUP(A443,LineItems!D:E,2,FALSE)</f>
        <v>#N/A</v>
      </c>
      <c r="C443" s="14" t="e">
        <f>F443</f>
        <v>#N/A</v>
      </c>
      <c r="D443" s="13" t="e">
        <f>VLOOKUP(A443,data!A:D,4,FALSE)</f>
        <v>#N/A</v>
      </c>
      <c r="E443" s="13" t="e">
        <f>VLOOKUP(A443,data!A:E,5,FALSE)</f>
        <v>#N/A</v>
      </c>
      <c r="F443" s="15" t="e">
        <f>VLOOKUP(A443,LineItems!D:I,6,FALSE) / VLOOKUP(A443,LineItems!D:I,5,FALSE)</f>
        <v>#N/A</v>
      </c>
      <c r="G443" s="16" t="e">
        <f xml:space="preserve"> IF((VLOOKUP(A443,data!A:C,3,FALSE)-F443)=0,"No Change","Price Changed")</f>
        <v>#N/A</v>
      </c>
    </row>
    <row r="444" spans="2:7" x14ac:dyDescent="0.2">
      <c r="B444" s="13" t="e">
        <f>VLOOKUP(A444,LineItems!D:E,2,FALSE)</f>
        <v>#N/A</v>
      </c>
      <c r="C444" s="14" t="e">
        <f>F444</f>
        <v>#N/A</v>
      </c>
      <c r="D444" s="13" t="e">
        <f>VLOOKUP(A444,data!A:D,4,FALSE)</f>
        <v>#N/A</v>
      </c>
      <c r="E444" s="13" t="e">
        <f>VLOOKUP(A444,data!A:E,5,FALSE)</f>
        <v>#N/A</v>
      </c>
      <c r="F444" s="15" t="e">
        <f>VLOOKUP(A444,LineItems!D:I,6,FALSE) / VLOOKUP(A444,LineItems!D:I,5,FALSE)</f>
        <v>#N/A</v>
      </c>
      <c r="G444" s="16" t="e">
        <f xml:space="preserve"> IF((VLOOKUP(A444,data!A:C,3,FALSE)-F444)=0,"No Change","Price Changed")</f>
        <v>#N/A</v>
      </c>
    </row>
    <row r="445" spans="2:7" x14ac:dyDescent="0.2">
      <c r="B445" s="13" t="e">
        <f>VLOOKUP(A445,LineItems!D:E,2,FALSE)</f>
        <v>#N/A</v>
      </c>
      <c r="C445" s="14" t="e">
        <f>F445</f>
        <v>#N/A</v>
      </c>
      <c r="D445" s="13" t="e">
        <f>VLOOKUP(A445,data!A:D,4,FALSE)</f>
        <v>#N/A</v>
      </c>
      <c r="E445" s="13" t="e">
        <f>VLOOKUP(A445,data!A:E,5,FALSE)</f>
        <v>#N/A</v>
      </c>
      <c r="F445" s="15" t="e">
        <f>VLOOKUP(A445,LineItems!D:I,6,FALSE) / VLOOKUP(A445,LineItems!D:I,5,FALSE)</f>
        <v>#N/A</v>
      </c>
      <c r="G445" s="16" t="e">
        <f xml:space="preserve"> IF((VLOOKUP(A445,data!A:C,3,FALSE)-F445)=0,"No Change","Price Changed")</f>
        <v>#N/A</v>
      </c>
    </row>
    <row r="446" spans="2:7" x14ac:dyDescent="0.2">
      <c r="B446" s="13" t="e">
        <f>VLOOKUP(A446,LineItems!D:E,2,FALSE)</f>
        <v>#N/A</v>
      </c>
      <c r="C446" s="14" t="e">
        <f>F446</f>
        <v>#N/A</v>
      </c>
      <c r="D446" s="13" t="e">
        <f>VLOOKUP(A446,data!A:D,4,FALSE)</f>
        <v>#N/A</v>
      </c>
      <c r="E446" s="13" t="e">
        <f>VLOOKUP(A446,data!A:E,5,FALSE)</f>
        <v>#N/A</v>
      </c>
      <c r="F446" s="15" t="e">
        <f>VLOOKUP(A446,LineItems!D:I,6,FALSE) / VLOOKUP(A446,LineItems!D:I,5,FALSE)</f>
        <v>#N/A</v>
      </c>
      <c r="G446" s="16" t="e">
        <f xml:space="preserve"> IF((VLOOKUP(A446,data!A:C,3,FALSE)-F446)=0,"No Change","Price Changed")</f>
        <v>#N/A</v>
      </c>
    </row>
    <row r="447" spans="2:7" x14ac:dyDescent="0.2">
      <c r="B447" s="13" t="e">
        <f>VLOOKUP(A447,LineItems!D:E,2,FALSE)</f>
        <v>#N/A</v>
      </c>
      <c r="C447" s="14" t="e">
        <f>F447</f>
        <v>#N/A</v>
      </c>
      <c r="D447" s="13" t="e">
        <f>VLOOKUP(A447,data!A:D,4,FALSE)</f>
        <v>#N/A</v>
      </c>
      <c r="E447" s="13" t="e">
        <f>VLOOKUP(A447,data!A:E,5,FALSE)</f>
        <v>#N/A</v>
      </c>
      <c r="F447" s="15" t="e">
        <f>VLOOKUP(A447,LineItems!D:I,6,FALSE) / VLOOKUP(A447,LineItems!D:I,5,FALSE)</f>
        <v>#N/A</v>
      </c>
      <c r="G447" s="16" t="e">
        <f xml:space="preserve"> IF((VLOOKUP(A447,data!A:C,3,FALSE)-F447)=0,"No Change","Price Changed")</f>
        <v>#N/A</v>
      </c>
    </row>
    <row r="448" spans="2:7" x14ac:dyDescent="0.2">
      <c r="B448" s="13" t="e">
        <f>VLOOKUP(A448,LineItems!D:E,2,FALSE)</f>
        <v>#N/A</v>
      </c>
      <c r="C448" s="14" t="e">
        <f>F448</f>
        <v>#N/A</v>
      </c>
      <c r="D448" s="13" t="e">
        <f>VLOOKUP(A448,data!A:D,4,FALSE)</f>
        <v>#N/A</v>
      </c>
      <c r="E448" s="13" t="e">
        <f>VLOOKUP(A448,data!A:E,5,FALSE)</f>
        <v>#N/A</v>
      </c>
      <c r="F448" s="15" t="e">
        <f>VLOOKUP(A448,LineItems!D:I,6,FALSE) / VLOOKUP(A448,LineItems!D:I,5,FALSE)</f>
        <v>#N/A</v>
      </c>
      <c r="G448" s="16" t="e">
        <f xml:space="preserve"> IF((VLOOKUP(A448,data!A:C,3,FALSE)-F448)=0,"No Change","Price Changed")</f>
        <v>#N/A</v>
      </c>
    </row>
    <row r="449" spans="2:7" x14ac:dyDescent="0.2">
      <c r="B449" s="13" t="e">
        <f>VLOOKUP(A449,LineItems!D:E,2,FALSE)</f>
        <v>#N/A</v>
      </c>
      <c r="C449" s="14" t="e">
        <f>F449</f>
        <v>#N/A</v>
      </c>
      <c r="D449" s="13" t="e">
        <f>VLOOKUP(A449,data!A:D,4,FALSE)</f>
        <v>#N/A</v>
      </c>
      <c r="E449" s="13" t="e">
        <f>VLOOKUP(A449,data!A:E,5,FALSE)</f>
        <v>#N/A</v>
      </c>
      <c r="F449" s="15" t="e">
        <f>VLOOKUP(A449,LineItems!D:I,6,FALSE) / VLOOKUP(A449,LineItems!D:I,5,FALSE)</f>
        <v>#N/A</v>
      </c>
      <c r="G449" s="16" t="e">
        <f xml:space="preserve"> IF((VLOOKUP(A449,data!A:C,3,FALSE)-F449)=0,"No Change","Price Changed")</f>
        <v>#N/A</v>
      </c>
    </row>
    <row r="450" spans="2:7" x14ac:dyDescent="0.2">
      <c r="B450" s="13" t="e">
        <f>VLOOKUP(A450,LineItems!D:E,2,FALSE)</f>
        <v>#N/A</v>
      </c>
      <c r="C450" s="14" t="e">
        <f>F450</f>
        <v>#N/A</v>
      </c>
      <c r="D450" s="13" t="e">
        <f>VLOOKUP(A450,data!A:D,4,FALSE)</f>
        <v>#N/A</v>
      </c>
      <c r="E450" s="13" t="e">
        <f>VLOOKUP(A450,data!A:E,5,FALSE)</f>
        <v>#N/A</v>
      </c>
      <c r="F450" s="15" t="e">
        <f>VLOOKUP(A450,LineItems!D:I,6,FALSE) / VLOOKUP(A450,LineItems!D:I,5,FALSE)</f>
        <v>#N/A</v>
      </c>
      <c r="G450" s="16" t="e">
        <f xml:space="preserve"> IF((VLOOKUP(A450,data!A:C,3,FALSE)-F450)=0,"No Change","Price Changed")</f>
        <v>#N/A</v>
      </c>
    </row>
    <row r="451" spans="2:7" x14ac:dyDescent="0.2">
      <c r="B451" s="13" t="e">
        <f>VLOOKUP(A451,LineItems!D:E,2,FALSE)</f>
        <v>#N/A</v>
      </c>
      <c r="C451" s="14" t="e">
        <f>F451</f>
        <v>#N/A</v>
      </c>
      <c r="D451" s="13" t="e">
        <f>VLOOKUP(A451,data!A:D,4,FALSE)</f>
        <v>#N/A</v>
      </c>
      <c r="E451" s="13" t="e">
        <f>VLOOKUP(A451,data!A:E,5,FALSE)</f>
        <v>#N/A</v>
      </c>
      <c r="F451" s="15" t="e">
        <f>VLOOKUP(A451,LineItems!D:I,6,FALSE) / VLOOKUP(A451,LineItems!D:I,5,FALSE)</f>
        <v>#N/A</v>
      </c>
      <c r="G451" s="16" t="e">
        <f xml:space="preserve"> IF((VLOOKUP(A451,data!A:C,3,FALSE)-F451)=0,"No Change","Price Changed")</f>
        <v>#N/A</v>
      </c>
    </row>
    <row r="452" spans="2:7" x14ac:dyDescent="0.2">
      <c r="B452" s="13" t="e">
        <f>VLOOKUP(A452,LineItems!D:E,2,FALSE)</f>
        <v>#N/A</v>
      </c>
      <c r="C452" s="14" t="e">
        <f>F452</f>
        <v>#N/A</v>
      </c>
      <c r="D452" s="13" t="e">
        <f>VLOOKUP(A452,data!A:D,4,FALSE)</f>
        <v>#N/A</v>
      </c>
      <c r="E452" s="13" t="e">
        <f>VLOOKUP(A452,data!A:E,5,FALSE)</f>
        <v>#N/A</v>
      </c>
      <c r="F452" s="15" t="e">
        <f>VLOOKUP(A452,LineItems!D:I,6,FALSE) / VLOOKUP(A452,LineItems!D:I,5,FALSE)</f>
        <v>#N/A</v>
      </c>
      <c r="G452" s="16" t="e">
        <f xml:space="preserve"> IF((VLOOKUP(A452,data!A:C,3,FALSE)-F452)=0,"No Change","Price Changed")</f>
        <v>#N/A</v>
      </c>
    </row>
    <row r="453" spans="2:7" x14ac:dyDescent="0.2">
      <c r="B453" s="13" t="e">
        <f>VLOOKUP(A453,LineItems!D:E,2,FALSE)</f>
        <v>#N/A</v>
      </c>
      <c r="C453" s="14" t="e">
        <f>F453</f>
        <v>#N/A</v>
      </c>
      <c r="D453" s="13" t="e">
        <f>VLOOKUP(A453,data!A:D,4,FALSE)</f>
        <v>#N/A</v>
      </c>
      <c r="E453" s="13" t="e">
        <f>VLOOKUP(A453,data!A:E,5,FALSE)</f>
        <v>#N/A</v>
      </c>
      <c r="F453" s="15" t="e">
        <f>VLOOKUP(A453,LineItems!D:I,6,FALSE) / VLOOKUP(A453,LineItems!D:I,5,FALSE)</f>
        <v>#N/A</v>
      </c>
      <c r="G453" s="16" t="e">
        <f xml:space="preserve"> IF((VLOOKUP(A453,data!A:C,3,FALSE)-F453)=0,"No Change","Price Changed")</f>
        <v>#N/A</v>
      </c>
    </row>
    <row r="454" spans="2:7" x14ac:dyDescent="0.2">
      <c r="B454" s="13" t="e">
        <f>VLOOKUP(A454,LineItems!D:E,2,FALSE)</f>
        <v>#N/A</v>
      </c>
      <c r="C454" s="14" t="e">
        <f>F454</f>
        <v>#N/A</v>
      </c>
      <c r="D454" s="13" t="e">
        <f>VLOOKUP(A454,data!A:D,4,FALSE)</f>
        <v>#N/A</v>
      </c>
      <c r="E454" s="13" t="e">
        <f>VLOOKUP(A454,data!A:E,5,FALSE)</f>
        <v>#N/A</v>
      </c>
      <c r="F454" s="15" t="e">
        <f>VLOOKUP(A454,LineItems!D:I,6,FALSE) / VLOOKUP(A454,LineItems!D:I,5,FALSE)</f>
        <v>#N/A</v>
      </c>
      <c r="G454" s="16" t="e">
        <f xml:space="preserve"> IF((VLOOKUP(A454,data!A:C,3,FALSE)-F454)=0,"No Change","Price Changed")</f>
        <v>#N/A</v>
      </c>
    </row>
    <row r="455" spans="2:7" x14ac:dyDescent="0.2">
      <c r="B455" s="13" t="e">
        <f>VLOOKUP(A455,LineItems!D:E,2,FALSE)</f>
        <v>#N/A</v>
      </c>
      <c r="C455" s="14" t="e">
        <f>F455</f>
        <v>#N/A</v>
      </c>
      <c r="D455" s="13" t="e">
        <f>VLOOKUP(A455,data!A:D,4,FALSE)</f>
        <v>#N/A</v>
      </c>
      <c r="E455" s="13" t="e">
        <f>VLOOKUP(A455,data!A:E,5,FALSE)</f>
        <v>#N/A</v>
      </c>
      <c r="F455" s="15" t="e">
        <f>VLOOKUP(A455,LineItems!D:I,6,FALSE) / VLOOKUP(A455,LineItems!D:I,5,FALSE)</f>
        <v>#N/A</v>
      </c>
      <c r="G455" s="16" t="e">
        <f xml:space="preserve"> IF((VLOOKUP(A455,data!A:C,3,FALSE)-F455)=0,"No Change","Price Changed")</f>
        <v>#N/A</v>
      </c>
    </row>
    <row r="456" spans="2:7" x14ac:dyDescent="0.2">
      <c r="B456" s="13" t="e">
        <f>VLOOKUP(A456,LineItems!D:E,2,FALSE)</f>
        <v>#N/A</v>
      </c>
      <c r="C456" s="14" t="e">
        <f>F456</f>
        <v>#N/A</v>
      </c>
      <c r="D456" s="13" t="e">
        <f>VLOOKUP(A456,data!A:D,4,FALSE)</f>
        <v>#N/A</v>
      </c>
      <c r="E456" s="13" t="e">
        <f>VLOOKUP(A456,data!A:E,5,FALSE)</f>
        <v>#N/A</v>
      </c>
      <c r="F456" s="15" t="e">
        <f>VLOOKUP(A456,LineItems!D:I,6,FALSE) / VLOOKUP(A456,LineItems!D:I,5,FALSE)</f>
        <v>#N/A</v>
      </c>
      <c r="G456" s="16" t="e">
        <f xml:space="preserve"> IF((VLOOKUP(A456,data!A:C,3,FALSE)-F456)=0,"No Change","Price Changed")</f>
        <v>#N/A</v>
      </c>
    </row>
    <row r="457" spans="2:7" x14ac:dyDescent="0.2">
      <c r="B457" s="13" t="e">
        <f>VLOOKUP(A457,LineItems!D:E,2,FALSE)</f>
        <v>#N/A</v>
      </c>
      <c r="C457" s="14" t="e">
        <f>F457</f>
        <v>#N/A</v>
      </c>
      <c r="D457" s="13" t="e">
        <f>VLOOKUP(A457,data!A:D,4,FALSE)</f>
        <v>#N/A</v>
      </c>
      <c r="E457" s="13" t="e">
        <f>VLOOKUP(A457,data!A:E,5,FALSE)</f>
        <v>#N/A</v>
      </c>
      <c r="F457" s="15" t="e">
        <f>VLOOKUP(A457,LineItems!D:I,6,FALSE) / VLOOKUP(A457,LineItems!D:I,5,FALSE)</f>
        <v>#N/A</v>
      </c>
      <c r="G457" s="16" t="e">
        <f xml:space="preserve"> IF((VLOOKUP(A457,data!A:C,3,FALSE)-F457)=0,"No Change","Price Changed")</f>
        <v>#N/A</v>
      </c>
    </row>
    <row r="458" spans="2:7" x14ac:dyDescent="0.2">
      <c r="B458" s="13" t="e">
        <f>VLOOKUP(A458,LineItems!D:E,2,FALSE)</f>
        <v>#N/A</v>
      </c>
      <c r="C458" s="14" t="e">
        <f>F458</f>
        <v>#N/A</v>
      </c>
      <c r="D458" s="13" t="e">
        <f>VLOOKUP(A458,data!A:D,4,FALSE)</f>
        <v>#N/A</v>
      </c>
      <c r="E458" s="13" t="e">
        <f>VLOOKUP(A458,data!A:E,5,FALSE)</f>
        <v>#N/A</v>
      </c>
      <c r="F458" s="15" t="e">
        <f>VLOOKUP(A458,LineItems!D:I,6,FALSE) / VLOOKUP(A458,LineItems!D:I,5,FALSE)</f>
        <v>#N/A</v>
      </c>
      <c r="G458" s="16" t="e">
        <f xml:space="preserve"> IF((VLOOKUP(A458,data!A:C,3,FALSE)-F458)=0,"No Change","Price Changed")</f>
        <v>#N/A</v>
      </c>
    </row>
    <row r="459" spans="2:7" x14ac:dyDescent="0.2">
      <c r="B459" s="13" t="e">
        <f>VLOOKUP(A459,LineItems!D:E,2,FALSE)</f>
        <v>#N/A</v>
      </c>
      <c r="C459" s="14" t="e">
        <f>F459</f>
        <v>#N/A</v>
      </c>
      <c r="D459" s="13" t="e">
        <f>VLOOKUP(A459,data!A:D,4,FALSE)</f>
        <v>#N/A</v>
      </c>
      <c r="E459" s="13" t="e">
        <f>VLOOKUP(A459,data!A:E,5,FALSE)</f>
        <v>#N/A</v>
      </c>
      <c r="F459" s="15" t="e">
        <f>VLOOKUP(A459,LineItems!D:I,6,FALSE) / VLOOKUP(A459,LineItems!D:I,5,FALSE)</f>
        <v>#N/A</v>
      </c>
      <c r="G459" s="16" t="e">
        <f xml:space="preserve"> IF((VLOOKUP(A459,data!A:C,3,FALSE)-F459)=0,"No Change","Price Changed")</f>
        <v>#N/A</v>
      </c>
    </row>
    <row r="460" spans="2:7" x14ac:dyDescent="0.2">
      <c r="B460" s="13" t="e">
        <f>VLOOKUP(A460,LineItems!D:E,2,FALSE)</f>
        <v>#N/A</v>
      </c>
      <c r="C460" s="14" t="e">
        <f>F460</f>
        <v>#N/A</v>
      </c>
      <c r="D460" s="13" t="e">
        <f>VLOOKUP(A460,data!A:D,4,FALSE)</f>
        <v>#N/A</v>
      </c>
      <c r="E460" s="13" t="e">
        <f>VLOOKUP(A460,data!A:E,5,FALSE)</f>
        <v>#N/A</v>
      </c>
      <c r="F460" s="15" t="e">
        <f>VLOOKUP(A460,LineItems!D:I,6,FALSE) / VLOOKUP(A460,LineItems!D:I,5,FALSE)</f>
        <v>#N/A</v>
      </c>
      <c r="G460" s="16" t="e">
        <f xml:space="preserve"> IF((VLOOKUP(A460,data!A:C,3,FALSE)-F460)=0,"No Change","Price Changed")</f>
        <v>#N/A</v>
      </c>
    </row>
    <row r="461" spans="2:7" x14ac:dyDescent="0.2">
      <c r="B461" s="13" t="e">
        <f>VLOOKUP(A461,LineItems!D:E,2,FALSE)</f>
        <v>#N/A</v>
      </c>
      <c r="C461" s="14" t="e">
        <f>F461</f>
        <v>#N/A</v>
      </c>
      <c r="D461" s="13" t="e">
        <f>VLOOKUP(A461,data!A:D,4,FALSE)</f>
        <v>#N/A</v>
      </c>
      <c r="E461" s="13" t="e">
        <f>VLOOKUP(A461,data!A:E,5,FALSE)</f>
        <v>#N/A</v>
      </c>
      <c r="F461" s="15" t="e">
        <f>VLOOKUP(A461,LineItems!D:I,6,FALSE) / VLOOKUP(A461,LineItems!D:I,5,FALSE)</f>
        <v>#N/A</v>
      </c>
      <c r="G461" s="16" t="e">
        <f xml:space="preserve"> IF((VLOOKUP(A461,data!A:C,3,FALSE)-F461)=0,"No Change","Price Changed")</f>
        <v>#N/A</v>
      </c>
    </row>
    <row r="462" spans="2:7" x14ac:dyDescent="0.2">
      <c r="B462" s="13" t="e">
        <f>VLOOKUP(A462,LineItems!D:E,2,FALSE)</f>
        <v>#N/A</v>
      </c>
      <c r="C462" s="14" t="e">
        <f>F462</f>
        <v>#N/A</v>
      </c>
      <c r="D462" s="13" t="e">
        <f>VLOOKUP(A462,data!A:D,4,FALSE)</f>
        <v>#N/A</v>
      </c>
      <c r="E462" s="13" t="e">
        <f>VLOOKUP(A462,data!A:E,5,FALSE)</f>
        <v>#N/A</v>
      </c>
      <c r="F462" s="15" t="e">
        <f>VLOOKUP(A462,LineItems!D:I,6,FALSE) / VLOOKUP(A462,LineItems!D:I,5,FALSE)</f>
        <v>#N/A</v>
      </c>
      <c r="G462" s="16" t="e">
        <f xml:space="preserve"> IF((VLOOKUP(A462,data!A:C,3,FALSE)-F462)=0,"No Change","Price Changed")</f>
        <v>#N/A</v>
      </c>
    </row>
    <row r="463" spans="2:7" x14ac:dyDescent="0.2">
      <c r="B463" s="13" t="e">
        <f>VLOOKUP(A463,LineItems!D:E,2,FALSE)</f>
        <v>#N/A</v>
      </c>
      <c r="C463" s="14" t="e">
        <f>F463</f>
        <v>#N/A</v>
      </c>
      <c r="D463" s="13" t="e">
        <f>VLOOKUP(A463,data!A:D,4,FALSE)</f>
        <v>#N/A</v>
      </c>
      <c r="E463" s="13" t="e">
        <f>VLOOKUP(A463,data!A:E,5,FALSE)</f>
        <v>#N/A</v>
      </c>
      <c r="F463" s="15" t="e">
        <f>VLOOKUP(A463,LineItems!D:I,6,FALSE) / VLOOKUP(A463,LineItems!D:I,5,FALSE)</f>
        <v>#N/A</v>
      </c>
      <c r="G463" s="16" t="e">
        <f xml:space="preserve"> IF((VLOOKUP(A463,data!A:C,3,FALSE)-F463)=0,"No Change","Price Changed")</f>
        <v>#N/A</v>
      </c>
    </row>
    <row r="464" spans="2:7" x14ac:dyDescent="0.2">
      <c r="B464" s="13" t="e">
        <f>VLOOKUP(A464,LineItems!D:E,2,FALSE)</f>
        <v>#N/A</v>
      </c>
      <c r="C464" s="14" t="e">
        <f>F464</f>
        <v>#N/A</v>
      </c>
      <c r="D464" s="13" t="e">
        <f>VLOOKUP(A464,data!A:D,4,FALSE)</f>
        <v>#N/A</v>
      </c>
      <c r="E464" s="13" t="e">
        <f>VLOOKUP(A464,data!A:E,5,FALSE)</f>
        <v>#N/A</v>
      </c>
      <c r="F464" s="15" t="e">
        <f>VLOOKUP(A464,LineItems!D:I,6,FALSE) / VLOOKUP(A464,LineItems!D:I,5,FALSE)</f>
        <v>#N/A</v>
      </c>
      <c r="G464" s="16" t="e">
        <f xml:space="preserve"> IF((VLOOKUP(A464,data!A:C,3,FALSE)-F464)=0,"No Change","Price Changed")</f>
        <v>#N/A</v>
      </c>
    </row>
    <row r="465" spans="2:7" x14ac:dyDescent="0.2">
      <c r="B465" s="13" t="e">
        <f>VLOOKUP(A465,LineItems!D:E,2,FALSE)</f>
        <v>#N/A</v>
      </c>
      <c r="C465" s="14" t="e">
        <f>F465</f>
        <v>#N/A</v>
      </c>
      <c r="D465" s="13" t="e">
        <f>VLOOKUP(A465,data!A:D,4,FALSE)</f>
        <v>#N/A</v>
      </c>
      <c r="E465" s="13" t="e">
        <f>VLOOKUP(A465,data!A:E,5,FALSE)</f>
        <v>#N/A</v>
      </c>
      <c r="F465" s="15" t="e">
        <f>VLOOKUP(A465,LineItems!D:I,6,FALSE) / VLOOKUP(A465,LineItems!D:I,5,FALSE)</f>
        <v>#N/A</v>
      </c>
      <c r="G465" s="16" t="e">
        <f xml:space="preserve"> IF((VLOOKUP(A465,data!A:C,3,FALSE)-F465)=0,"No Change","Price Changed")</f>
        <v>#N/A</v>
      </c>
    </row>
    <row r="466" spans="2:7" x14ac:dyDescent="0.2">
      <c r="B466" s="13" t="e">
        <f>VLOOKUP(A466,LineItems!D:E,2,FALSE)</f>
        <v>#N/A</v>
      </c>
      <c r="C466" s="14" t="e">
        <f>F466</f>
        <v>#N/A</v>
      </c>
      <c r="D466" s="13" t="e">
        <f>VLOOKUP(A466,data!A:D,4,FALSE)</f>
        <v>#N/A</v>
      </c>
      <c r="E466" s="13" t="e">
        <f>VLOOKUP(A466,data!A:E,5,FALSE)</f>
        <v>#N/A</v>
      </c>
      <c r="F466" s="15" t="e">
        <f>VLOOKUP(A466,LineItems!D:I,6,FALSE) / VLOOKUP(A466,LineItems!D:I,5,FALSE)</f>
        <v>#N/A</v>
      </c>
      <c r="G466" s="16" t="e">
        <f xml:space="preserve"> IF((VLOOKUP(A466,data!A:C,3,FALSE)-F466)=0,"No Change","Price Changed")</f>
        <v>#N/A</v>
      </c>
    </row>
    <row r="467" spans="2:7" x14ac:dyDescent="0.2">
      <c r="B467" s="13" t="e">
        <f>VLOOKUP(A467,LineItems!D:E,2,FALSE)</f>
        <v>#N/A</v>
      </c>
      <c r="C467" s="14" t="e">
        <f>F467</f>
        <v>#N/A</v>
      </c>
      <c r="D467" s="13" t="e">
        <f>VLOOKUP(A467,data!A:D,4,FALSE)</f>
        <v>#N/A</v>
      </c>
      <c r="E467" s="13" t="e">
        <f>VLOOKUP(A467,data!A:E,5,FALSE)</f>
        <v>#N/A</v>
      </c>
      <c r="F467" s="15" t="e">
        <f>VLOOKUP(A467,LineItems!D:I,6,FALSE) / VLOOKUP(A467,LineItems!D:I,5,FALSE)</f>
        <v>#N/A</v>
      </c>
      <c r="G467" s="16" t="e">
        <f xml:space="preserve"> IF((VLOOKUP(A467,data!A:C,3,FALSE)-F467)=0,"No Change","Price Changed")</f>
        <v>#N/A</v>
      </c>
    </row>
    <row r="468" spans="2:7" x14ac:dyDescent="0.2">
      <c r="B468" s="13" t="e">
        <f>VLOOKUP(A468,LineItems!D:E,2,FALSE)</f>
        <v>#N/A</v>
      </c>
      <c r="C468" s="14" t="e">
        <f>F468</f>
        <v>#N/A</v>
      </c>
      <c r="D468" s="13" t="e">
        <f>VLOOKUP(A468,data!A:D,4,FALSE)</f>
        <v>#N/A</v>
      </c>
      <c r="E468" s="13" t="e">
        <f>VLOOKUP(A468,data!A:E,5,FALSE)</f>
        <v>#N/A</v>
      </c>
      <c r="F468" s="15" t="e">
        <f>VLOOKUP(A468,LineItems!D:I,6,FALSE) / VLOOKUP(A468,LineItems!D:I,5,FALSE)</f>
        <v>#N/A</v>
      </c>
      <c r="G468" s="16" t="e">
        <f xml:space="preserve"> IF((VLOOKUP(A468,data!A:C,3,FALSE)-F468)=0,"No Change","Price Changed")</f>
        <v>#N/A</v>
      </c>
    </row>
    <row r="469" spans="2:7" x14ac:dyDescent="0.2">
      <c r="B469" s="13" t="e">
        <f>VLOOKUP(A469,LineItems!D:E,2,FALSE)</f>
        <v>#N/A</v>
      </c>
      <c r="C469" s="14" t="e">
        <f>F469</f>
        <v>#N/A</v>
      </c>
      <c r="D469" s="13" t="e">
        <f>VLOOKUP(A469,data!A:D,4,FALSE)</f>
        <v>#N/A</v>
      </c>
      <c r="E469" s="13" t="e">
        <f>VLOOKUP(A469,data!A:E,5,FALSE)</f>
        <v>#N/A</v>
      </c>
      <c r="F469" s="15" t="e">
        <f>VLOOKUP(A469,LineItems!D:I,6,FALSE) / VLOOKUP(A469,LineItems!D:I,5,FALSE)</f>
        <v>#N/A</v>
      </c>
      <c r="G469" s="16" t="e">
        <f xml:space="preserve"> IF((VLOOKUP(A469,data!A:C,3,FALSE)-F469)=0,"No Change","Price Changed")</f>
        <v>#N/A</v>
      </c>
    </row>
    <row r="470" spans="2:7" x14ac:dyDescent="0.2">
      <c r="B470" s="13" t="e">
        <f>VLOOKUP(A470,LineItems!D:E,2,FALSE)</f>
        <v>#N/A</v>
      </c>
      <c r="C470" s="14" t="e">
        <f>F470</f>
        <v>#N/A</v>
      </c>
      <c r="D470" s="13" t="e">
        <f>VLOOKUP(A470,data!A:D,4,FALSE)</f>
        <v>#N/A</v>
      </c>
      <c r="E470" s="13" t="e">
        <f>VLOOKUP(A470,data!A:E,5,FALSE)</f>
        <v>#N/A</v>
      </c>
      <c r="F470" s="15" t="e">
        <f>VLOOKUP(A470,LineItems!D:I,6,FALSE) / VLOOKUP(A470,LineItems!D:I,5,FALSE)</f>
        <v>#N/A</v>
      </c>
      <c r="G470" s="16" t="e">
        <f xml:space="preserve"> IF((VLOOKUP(A470,data!A:C,3,FALSE)-F470)=0,"No Change","Price Changed")</f>
        <v>#N/A</v>
      </c>
    </row>
    <row r="471" spans="2:7" x14ac:dyDescent="0.2">
      <c r="B471" s="13" t="e">
        <f>VLOOKUP(A471,LineItems!D:E,2,FALSE)</f>
        <v>#N/A</v>
      </c>
      <c r="C471" s="14" t="e">
        <f>F471</f>
        <v>#N/A</v>
      </c>
      <c r="D471" s="13" t="e">
        <f>VLOOKUP(A471,data!A:D,4,FALSE)</f>
        <v>#N/A</v>
      </c>
      <c r="E471" s="13" t="e">
        <f>VLOOKUP(A471,data!A:E,5,FALSE)</f>
        <v>#N/A</v>
      </c>
      <c r="F471" s="15" t="e">
        <f>VLOOKUP(A471,LineItems!D:I,6,FALSE) / VLOOKUP(A471,LineItems!D:I,5,FALSE)</f>
        <v>#N/A</v>
      </c>
      <c r="G471" s="16" t="e">
        <f xml:space="preserve"> IF((VLOOKUP(A471,data!A:C,3,FALSE)-F471)=0,"No Change","Price Changed")</f>
        <v>#N/A</v>
      </c>
    </row>
    <row r="472" spans="2:7" x14ac:dyDescent="0.2">
      <c r="B472" s="13" t="e">
        <f>VLOOKUP(A472,LineItems!D:E,2,FALSE)</f>
        <v>#N/A</v>
      </c>
      <c r="C472" s="14" t="e">
        <f>F472</f>
        <v>#N/A</v>
      </c>
      <c r="D472" s="13" t="e">
        <f>VLOOKUP(A472,data!A:D,4,FALSE)</f>
        <v>#N/A</v>
      </c>
      <c r="E472" s="13" t="e">
        <f>VLOOKUP(A472,data!A:E,5,FALSE)</f>
        <v>#N/A</v>
      </c>
      <c r="F472" s="15" t="e">
        <f>VLOOKUP(A472,LineItems!D:I,6,FALSE) / VLOOKUP(A472,LineItems!D:I,5,FALSE)</f>
        <v>#N/A</v>
      </c>
      <c r="G472" s="16" t="e">
        <f xml:space="preserve"> IF((VLOOKUP(A472,data!A:C,3,FALSE)-F472)=0,"No Change","Price Changed")</f>
        <v>#N/A</v>
      </c>
    </row>
    <row r="473" spans="2:7" x14ac:dyDescent="0.2">
      <c r="B473" s="13" t="e">
        <f>VLOOKUP(A473,LineItems!D:E,2,FALSE)</f>
        <v>#N/A</v>
      </c>
      <c r="C473" s="14" t="e">
        <f>F473</f>
        <v>#N/A</v>
      </c>
      <c r="D473" s="13" t="e">
        <f>VLOOKUP(A473,data!A:D,4,FALSE)</f>
        <v>#N/A</v>
      </c>
      <c r="E473" s="13" t="e">
        <f>VLOOKUP(A473,data!A:E,5,FALSE)</f>
        <v>#N/A</v>
      </c>
      <c r="F473" s="15" t="e">
        <f>VLOOKUP(A473,LineItems!D:I,6,FALSE) / VLOOKUP(A473,LineItems!D:I,5,FALSE)</f>
        <v>#N/A</v>
      </c>
      <c r="G473" s="16" t="e">
        <f xml:space="preserve"> IF((VLOOKUP(A473,data!A:C,3,FALSE)-F473)=0,"No Change","Price Changed")</f>
        <v>#N/A</v>
      </c>
    </row>
    <row r="474" spans="2:7" x14ac:dyDescent="0.2">
      <c r="B474" s="13" t="e">
        <f>VLOOKUP(A474,LineItems!D:E,2,FALSE)</f>
        <v>#N/A</v>
      </c>
      <c r="C474" s="14" t="e">
        <f>F474</f>
        <v>#N/A</v>
      </c>
      <c r="D474" s="13" t="e">
        <f>VLOOKUP(A474,data!A:D,4,FALSE)</f>
        <v>#N/A</v>
      </c>
      <c r="E474" s="13" t="e">
        <f>VLOOKUP(A474,data!A:E,5,FALSE)</f>
        <v>#N/A</v>
      </c>
      <c r="F474" s="15" t="e">
        <f>VLOOKUP(A474,LineItems!D:I,6,FALSE) / VLOOKUP(A474,LineItems!D:I,5,FALSE)</f>
        <v>#N/A</v>
      </c>
      <c r="G474" s="16" t="e">
        <f xml:space="preserve"> IF((VLOOKUP(A474,data!A:C,3,FALSE)-F474)=0,"No Change","Price Changed")</f>
        <v>#N/A</v>
      </c>
    </row>
    <row r="475" spans="2:7" x14ac:dyDescent="0.2">
      <c r="B475" s="13" t="e">
        <f>VLOOKUP(A475,LineItems!D:E,2,FALSE)</f>
        <v>#N/A</v>
      </c>
      <c r="C475" s="14" t="e">
        <f>F475</f>
        <v>#N/A</v>
      </c>
      <c r="D475" s="13" t="e">
        <f>VLOOKUP(A475,data!A:D,4,FALSE)</f>
        <v>#N/A</v>
      </c>
      <c r="E475" s="13" t="e">
        <f>VLOOKUP(A475,data!A:E,5,FALSE)</f>
        <v>#N/A</v>
      </c>
      <c r="F475" s="15" t="e">
        <f>VLOOKUP(A475,LineItems!D:I,6,FALSE) / VLOOKUP(A475,LineItems!D:I,5,FALSE)</f>
        <v>#N/A</v>
      </c>
      <c r="G475" s="16" t="e">
        <f xml:space="preserve"> IF((VLOOKUP(A475,data!A:C,3,FALSE)-F475)=0,"No Change","Price Changed")</f>
        <v>#N/A</v>
      </c>
    </row>
    <row r="476" spans="2:7" x14ac:dyDescent="0.2">
      <c r="B476" s="13" t="e">
        <f>VLOOKUP(A476,LineItems!D:E,2,FALSE)</f>
        <v>#N/A</v>
      </c>
      <c r="C476" s="14" t="e">
        <f>F476</f>
        <v>#N/A</v>
      </c>
      <c r="D476" s="13" t="e">
        <f>VLOOKUP(A476,data!A:D,4,FALSE)</f>
        <v>#N/A</v>
      </c>
      <c r="E476" s="13" t="e">
        <f>VLOOKUP(A476,data!A:E,5,FALSE)</f>
        <v>#N/A</v>
      </c>
      <c r="F476" s="15" t="e">
        <f>VLOOKUP(A476,LineItems!D:I,6,FALSE) / VLOOKUP(A476,LineItems!D:I,5,FALSE)</f>
        <v>#N/A</v>
      </c>
      <c r="G476" s="16" t="e">
        <f xml:space="preserve"> IF((VLOOKUP(A476,data!A:C,3,FALSE)-F476)=0,"No Change","Price Changed")</f>
        <v>#N/A</v>
      </c>
    </row>
    <row r="477" spans="2:7" x14ac:dyDescent="0.2">
      <c r="B477" s="13" t="e">
        <f>VLOOKUP(A477,LineItems!D:E,2,FALSE)</f>
        <v>#N/A</v>
      </c>
      <c r="C477" s="14" t="e">
        <f>F477</f>
        <v>#N/A</v>
      </c>
      <c r="D477" s="13" t="e">
        <f>VLOOKUP(A477,data!A:D,4,FALSE)</f>
        <v>#N/A</v>
      </c>
      <c r="E477" s="13" t="e">
        <f>VLOOKUP(A477,data!A:E,5,FALSE)</f>
        <v>#N/A</v>
      </c>
      <c r="F477" s="15" t="e">
        <f>VLOOKUP(A477,LineItems!D:I,6,FALSE) / VLOOKUP(A477,LineItems!D:I,5,FALSE)</f>
        <v>#N/A</v>
      </c>
      <c r="G477" s="16" t="e">
        <f xml:space="preserve"> IF((VLOOKUP(A477,data!A:C,3,FALSE)-F477)=0,"No Change","Price Changed")</f>
        <v>#N/A</v>
      </c>
    </row>
    <row r="478" spans="2:7" x14ac:dyDescent="0.2">
      <c r="B478" s="13" t="e">
        <f>VLOOKUP(A478,LineItems!D:E,2,FALSE)</f>
        <v>#N/A</v>
      </c>
      <c r="C478" s="14" t="e">
        <f>F478</f>
        <v>#N/A</v>
      </c>
      <c r="D478" s="13" t="e">
        <f>VLOOKUP(A478,data!A:D,4,FALSE)</f>
        <v>#N/A</v>
      </c>
      <c r="E478" s="13" t="e">
        <f>VLOOKUP(A478,data!A:E,5,FALSE)</f>
        <v>#N/A</v>
      </c>
      <c r="F478" s="15" t="e">
        <f>VLOOKUP(A478,LineItems!D:I,6,FALSE) / VLOOKUP(A478,LineItems!D:I,5,FALSE)</f>
        <v>#N/A</v>
      </c>
      <c r="G478" s="16" t="e">
        <f xml:space="preserve"> IF((VLOOKUP(A478,data!A:C,3,FALSE)-F478)=0,"No Change","Price Changed")</f>
        <v>#N/A</v>
      </c>
    </row>
    <row r="479" spans="2:7" x14ac:dyDescent="0.2">
      <c r="B479" s="13" t="e">
        <f>VLOOKUP(A479,LineItems!D:E,2,FALSE)</f>
        <v>#N/A</v>
      </c>
      <c r="C479" s="14" t="e">
        <f>F479</f>
        <v>#N/A</v>
      </c>
      <c r="D479" s="13" t="e">
        <f>VLOOKUP(A479,data!A:D,4,FALSE)</f>
        <v>#N/A</v>
      </c>
      <c r="E479" s="13" t="e">
        <f>VLOOKUP(A479,data!A:E,5,FALSE)</f>
        <v>#N/A</v>
      </c>
      <c r="F479" s="15" t="e">
        <f>VLOOKUP(A479,LineItems!D:I,6,FALSE) / VLOOKUP(A479,LineItems!D:I,5,FALSE)</f>
        <v>#N/A</v>
      </c>
      <c r="G479" s="16" t="e">
        <f xml:space="preserve"> IF((VLOOKUP(A479,data!A:C,3,FALSE)-F479)=0,"No Change","Price Changed")</f>
        <v>#N/A</v>
      </c>
    </row>
    <row r="480" spans="2:7" x14ac:dyDescent="0.2">
      <c r="B480" s="13" t="e">
        <f>VLOOKUP(A480,LineItems!D:E,2,FALSE)</f>
        <v>#N/A</v>
      </c>
      <c r="C480" s="14" t="e">
        <f>F480</f>
        <v>#N/A</v>
      </c>
      <c r="D480" s="13" t="e">
        <f>VLOOKUP(A480,data!A:D,4,FALSE)</f>
        <v>#N/A</v>
      </c>
      <c r="E480" s="13" t="e">
        <f>VLOOKUP(A480,data!A:E,5,FALSE)</f>
        <v>#N/A</v>
      </c>
      <c r="F480" s="15" t="e">
        <f>VLOOKUP(A480,LineItems!D:I,6,FALSE) / VLOOKUP(A480,LineItems!D:I,5,FALSE)</f>
        <v>#N/A</v>
      </c>
      <c r="G480" s="16" t="e">
        <f xml:space="preserve"> IF((VLOOKUP(A480,data!A:C,3,FALSE)-F480)=0,"No Change","Price Changed")</f>
        <v>#N/A</v>
      </c>
    </row>
    <row r="481" spans="2:7" x14ac:dyDescent="0.2">
      <c r="B481" s="13" t="e">
        <f>VLOOKUP(A481,LineItems!D:E,2,FALSE)</f>
        <v>#N/A</v>
      </c>
      <c r="C481" s="14" t="e">
        <f>F481</f>
        <v>#N/A</v>
      </c>
      <c r="D481" s="13" t="e">
        <f>VLOOKUP(A481,data!A:D,4,FALSE)</f>
        <v>#N/A</v>
      </c>
      <c r="E481" s="13" t="e">
        <f>VLOOKUP(A481,data!A:E,5,FALSE)</f>
        <v>#N/A</v>
      </c>
      <c r="F481" s="15" t="e">
        <f>VLOOKUP(A481,LineItems!D:I,6,FALSE) / VLOOKUP(A481,LineItems!D:I,5,FALSE)</f>
        <v>#N/A</v>
      </c>
      <c r="G481" s="16" t="e">
        <f xml:space="preserve"> IF((VLOOKUP(A481,data!A:C,3,FALSE)-F481)=0,"No Change","Price Changed")</f>
        <v>#N/A</v>
      </c>
    </row>
    <row r="482" spans="2:7" x14ac:dyDescent="0.2">
      <c r="B482" s="13" t="e">
        <f>VLOOKUP(A482,LineItems!D:E,2,FALSE)</f>
        <v>#N/A</v>
      </c>
      <c r="C482" s="14" t="e">
        <f>F482</f>
        <v>#N/A</v>
      </c>
      <c r="D482" s="13" t="e">
        <f>VLOOKUP(A482,data!A:D,4,FALSE)</f>
        <v>#N/A</v>
      </c>
      <c r="E482" s="13" t="e">
        <f>VLOOKUP(A482,data!A:E,5,FALSE)</f>
        <v>#N/A</v>
      </c>
      <c r="F482" s="15" t="e">
        <f>VLOOKUP(A482,LineItems!D:I,6,FALSE) / VLOOKUP(A482,LineItems!D:I,5,FALSE)</f>
        <v>#N/A</v>
      </c>
      <c r="G482" s="16" t="e">
        <f xml:space="preserve"> IF((VLOOKUP(A482,data!A:C,3,FALSE)-F482)=0,"No Change","Price Changed")</f>
        <v>#N/A</v>
      </c>
    </row>
    <row r="483" spans="2:7" x14ac:dyDescent="0.2">
      <c r="B483" s="13" t="e">
        <f>VLOOKUP(A483,LineItems!D:E,2,FALSE)</f>
        <v>#N/A</v>
      </c>
      <c r="C483" s="14" t="e">
        <f>F483</f>
        <v>#N/A</v>
      </c>
      <c r="D483" s="13" t="e">
        <f>VLOOKUP(A483,data!A:D,4,FALSE)</f>
        <v>#N/A</v>
      </c>
      <c r="E483" s="13" t="e">
        <f>VLOOKUP(A483,data!A:E,5,FALSE)</f>
        <v>#N/A</v>
      </c>
      <c r="F483" s="15" t="e">
        <f>VLOOKUP(A483,LineItems!D:I,6,FALSE) / VLOOKUP(A483,LineItems!D:I,5,FALSE)</f>
        <v>#N/A</v>
      </c>
      <c r="G483" s="16" t="e">
        <f xml:space="preserve"> IF((VLOOKUP(A483,data!A:C,3,FALSE)-F483)=0,"No Change","Price Changed")</f>
        <v>#N/A</v>
      </c>
    </row>
    <row r="484" spans="2:7" x14ac:dyDescent="0.2">
      <c r="B484" s="13" t="e">
        <f>VLOOKUP(A484,LineItems!D:E,2,FALSE)</f>
        <v>#N/A</v>
      </c>
      <c r="C484" s="14" t="e">
        <f>F484</f>
        <v>#N/A</v>
      </c>
      <c r="D484" s="13" t="e">
        <f>VLOOKUP(A484,data!A:D,4,FALSE)</f>
        <v>#N/A</v>
      </c>
      <c r="E484" s="13" t="e">
        <f>VLOOKUP(A484,data!A:E,5,FALSE)</f>
        <v>#N/A</v>
      </c>
      <c r="F484" s="15" t="e">
        <f>VLOOKUP(A484,LineItems!D:I,6,FALSE) / VLOOKUP(A484,LineItems!D:I,5,FALSE)</f>
        <v>#N/A</v>
      </c>
      <c r="G484" s="16" t="e">
        <f xml:space="preserve"> IF((VLOOKUP(A484,data!A:C,3,FALSE)-F484)=0,"No Change","Price Changed")</f>
        <v>#N/A</v>
      </c>
    </row>
    <row r="485" spans="2:7" x14ac:dyDescent="0.2">
      <c r="B485" s="13" t="e">
        <f>VLOOKUP(A485,LineItems!D:E,2,FALSE)</f>
        <v>#N/A</v>
      </c>
      <c r="C485" s="14" t="e">
        <f>F485</f>
        <v>#N/A</v>
      </c>
      <c r="D485" s="13" t="e">
        <f>VLOOKUP(A485,data!A:D,4,FALSE)</f>
        <v>#N/A</v>
      </c>
      <c r="E485" s="13" t="e">
        <f>VLOOKUP(A485,data!A:E,5,FALSE)</f>
        <v>#N/A</v>
      </c>
      <c r="F485" s="15" t="e">
        <f>VLOOKUP(A485,LineItems!D:I,6,FALSE) / VLOOKUP(A485,LineItems!D:I,5,FALSE)</f>
        <v>#N/A</v>
      </c>
      <c r="G485" s="16" t="e">
        <f xml:space="preserve"> IF((VLOOKUP(A485,data!A:C,3,FALSE)-F485)=0,"No Change","Price Changed")</f>
        <v>#N/A</v>
      </c>
    </row>
    <row r="486" spans="2:7" x14ac:dyDescent="0.2">
      <c r="B486" s="13" t="e">
        <f>VLOOKUP(A486,LineItems!D:E,2,FALSE)</f>
        <v>#N/A</v>
      </c>
      <c r="C486" s="14" t="e">
        <f>F486</f>
        <v>#N/A</v>
      </c>
      <c r="D486" s="13" t="e">
        <f>VLOOKUP(A486,data!A:D,4,FALSE)</f>
        <v>#N/A</v>
      </c>
      <c r="E486" s="13" t="e">
        <f>VLOOKUP(A486,data!A:E,5,FALSE)</f>
        <v>#N/A</v>
      </c>
      <c r="F486" s="15" t="e">
        <f>VLOOKUP(A486,LineItems!D:I,6,FALSE) / VLOOKUP(A486,LineItems!D:I,5,FALSE)</f>
        <v>#N/A</v>
      </c>
      <c r="G486" s="16" t="e">
        <f xml:space="preserve"> IF((VLOOKUP(A486,data!A:C,3,FALSE)-F486)=0,"No Change","Price Changed")</f>
        <v>#N/A</v>
      </c>
    </row>
    <row r="487" spans="2:7" x14ac:dyDescent="0.2">
      <c r="B487" s="13" t="e">
        <f>VLOOKUP(A487,LineItems!D:E,2,FALSE)</f>
        <v>#N/A</v>
      </c>
      <c r="C487" s="14" t="e">
        <f>F487</f>
        <v>#N/A</v>
      </c>
      <c r="D487" s="13" t="e">
        <f>VLOOKUP(A487,data!A:D,4,FALSE)</f>
        <v>#N/A</v>
      </c>
      <c r="E487" s="13" t="e">
        <f>VLOOKUP(A487,data!A:E,5,FALSE)</f>
        <v>#N/A</v>
      </c>
      <c r="F487" s="15" t="e">
        <f>VLOOKUP(A487,LineItems!D:I,6,FALSE) / VLOOKUP(A487,LineItems!D:I,5,FALSE)</f>
        <v>#N/A</v>
      </c>
      <c r="G487" s="16" t="e">
        <f xml:space="preserve"> IF((VLOOKUP(A487,data!A:C,3,FALSE)-F487)=0,"No Change","Price Changed")</f>
        <v>#N/A</v>
      </c>
    </row>
    <row r="488" spans="2:7" x14ac:dyDescent="0.2">
      <c r="B488" s="13" t="e">
        <f>VLOOKUP(A488,LineItems!D:E,2,FALSE)</f>
        <v>#N/A</v>
      </c>
      <c r="C488" s="14" t="e">
        <f>F488</f>
        <v>#N/A</v>
      </c>
      <c r="D488" s="13" t="e">
        <f>VLOOKUP(A488,data!A:D,4,FALSE)</f>
        <v>#N/A</v>
      </c>
      <c r="E488" s="13" t="e">
        <f>VLOOKUP(A488,data!A:E,5,FALSE)</f>
        <v>#N/A</v>
      </c>
      <c r="F488" s="15" t="e">
        <f>VLOOKUP(A488,LineItems!D:I,6,FALSE) / VLOOKUP(A488,LineItems!D:I,5,FALSE)</f>
        <v>#N/A</v>
      </c>
      <c r="G488" s="16" t="e">
        <f xml:space="preserve"> IF((VLOOKUP(A488,data!A:C,3,FALSE)-F488)=0,"No Change","Price Changed")</f>
        <v>#N/A</v>
      </c>
    </row>
    <row r="489" spans="2:7" x14ac:dyDescent="0.2">
      <c r="B489" s="13" t="e">
        <f>VLOOKUP(A489,LineItems!D:E,2,FALSE)</f>
        <v>#N/A</v>
      </c>
      <c r="C489" s="14" t="e">
        <f>F489</f>
        <v>#N/A</v>
      </c>
      <c r="D489" s="13" t="e">
        <f>VLOOKUP(A489,data!A:D,4,FALSE)</f>
        <v>#N/A</v>
      </c>
      <c r="E489" s="13" t="e">
        <f>VLOOKUP(A489,data!A:E,5,FALSE)</f>
        <v>#N/A</v>
      </c>
      <c r="F489" s="15" t="e">
        <f>VLOOKUP(A489,LineItems!D:I,6,FALSE) / VLOOKUP(A489,LineItems!D:I,5,FALSE)</f>
        <v>#N/A</v>
      </c>
      <c r="G489" s="16" t="e">
        <f xml:space="preserve"> IF((VLOOKUP(A489,data!A:C,3,FALSE)-F489)=0,"No Change","Price Changed")</f>
        <v>#N/A</v>
      </c>
    </row>
    <row r="490" spans="2:7" x14ac:dyDescent="0.2">
      <c r="B490" s="13" t="e">
        <f>VLOOKUP(A490,LineItems!D:E,2,FALSE)</f>
        <v>#N/A</v>
      </c>
      <c r="C490" s="14" t="e">
        <f>F490</f>
        <v>#N/A</v>
      </c>
      <c r="D490" s="13" t="e">
        <f>VLOOKUP(A490,data!A:D,4,FALSE)</f>
        <v>#N/A</v>
      </c>
      <c r="E490" s="13" t="e">
        <f>VLOOKUP(A490,data!A:E,5,FALSE)</f>
        <v>#N/A</v>
      </c>
      <c r="F490" s="15" t="e">
        <f>VLOOKUP(A490,LineItems!D:I,6,FALSE) / VLOOKUP(A490,LineItems!D:I,5,FALSE)</f>
        <v>#N/A</v>
      </c>
      <c r="G490" s="16" t="e">
        <f xml:space="preserve"> IF((VLOOKUP(A490,data!A:C,3,FALSE)-F490)=0,"No Change","Price Changed")</f>
        <v>#N/A</v>
      </c>
    </row>
    <row r="491" spans="2:7" x14ac:dyDescent="0.2">
      <c r="B491" s="13" t="e">
        <f>VLOOKUP(A491,LineItems!D:E,2,FALSE)</f>
        <v>#N/A</v>
      </c>
      <c r="C491" s="14" t="e">
        <f>F491</f>
        <v>#N/A</v>
      </c>
      <c r="D491" s="13" t="e">
        <f>VLOOKUP(A491,data!A:D,4,FALSE)</f>
        <v>#N/A</v>
      </c>
      <c r="E491" s="13" t="e">
        <f>VLOOKUP(A491,data!A:E,5,FALSE)</f>
        <v>#N/A</v>
      </c>
      <c r="F491" s="15" t="e">
        <f>VLOOKUP(A491,LineItems!D:I,6,FALSE) / VLOOKUP(A491,LineItems!D:I,5,FALSE)</f>
        <v>#N/A</v>
      </c>
      <c r="G491" s="16" t="e">
        <f xml:space="preserve"> IF((VLOOKUP(A491,data!A:C,3,FALSE)-F491)=0,"No Change","Price Changed")</f>
        <v>#N/A</v>
      </c>
    </row>
    <row r="492" spans="2:7" x14ac:dyDescent="0.2">
      <c r="B492" s="13" t="e">
        <f>VLOOKUP(A492,LineItems!D:E,2,FALSE)</f>
        <v>#N/A</v>
      </c>
      <c r="C492" s="14" t="e">
        <f>F492</f>
        <v>#N/A</v>
      </c>
      <c r="D492" s="13" t="e">
        <f>VLOOKUP(A492,data!A:D,4,FALSE)</f>
        <v>#N/A</v>
      </c>
      <c r="E492" s="13" t="e">
        <f>VLOOKUP(A492,data!A:E,5,FALSE)</f>
        <v>#N/A</v>
      </c>
      <c r="F492" s="15" t="e">
        <f>VLOOKUP(A492,LineItems!D:I,6,FALSE) / VLOOKUP(A492,LineItems!D:I,5,FALSE)</f>
        <v>#N/A</v>
      </c>
      <c r="G492" s="16" t="e">
        <f xml:space="preserve"> IF((VLOOKUP(A492,data!A:C,3,FALSE)-F492)=0,"No Change","Price Changed")</f>
        <v>#N/A</v>
      </c>
    </row>
    <row r="493" spans="2:7" x14ac:dyDescent="0.2">
      <c r="B493" s="13" t="e">
        <f>VLOOKUP(A493,LineItems!D:E,2,FALSE)</f>
        <v>#N/A</v>
      </c>
      <c r="C493" s="14" t="e">
        <f>F493</f>
        <v>#N/A</v>
      </c>
      <c r="D493" s="13" t="e">
        <f>VLOOKUP(A493,data!A:D,4,FALSE)</f>
        <v>#N/A</v>
      </c>
      <c r="E493" s="13" t="e">
        <f>VLOOKUP(A493,data!A:E,5,FALSE)</f>
        <v>#N/A</v>
      </c>
      <c r="F493" s="15" t="e">
        <f>VLOOKUP(A493,LineItems!D:I,6,FALSE) / VLOOKUP(A493,LineItems!D:I,5,FALSE)</f>
        <v>#N/A</v>
      </c>
      <c r="G493" s="16" t="e">
        <f xml:space="preserve"> IF((VLOOKUP(A493,data!A:C,3,FALSE)-F493)=0,"No Change","Price Changed")</f>
        <v>#N/A</v>
      </c>
    </row>
    <row r="494" spans="2:7" x14ac:dyDescent="0.2">
      <c r="B494" s="13" t="e">
        <f>VLOOKUP(A494,LineItems!D:E,2,FALSE)</f>
        <v>#N/A</v>
      </c>
      <c r="C494" s="14" t="e">
        <f>F494</f>
        <v>#N/A</v>
      </c>
      <c r="D494" s="13" t="e">
        <f>VLOOKUP(A494,data!A:D,4,FALSE)</f>
        <v>#N/A</v>
      </c>
      <c r="E494" s="13" t="e">
        <f>VLOOKUP(A494,data!A:E,5,FALSE)</f>
        <v>#N/A</v>
      </c>
      <c r="F494" s="15" t="e">
        <f>VLOOKUP(A494,LineItems!D:I,6,FALSE) / VLOOKUP(A494,LineItems!D:I,5,FALSE)</f>
        <v>#N/A</v>
      </c>
      <c r="G494" s="16" t="e">
        <f xml:space="preserve"> IF((VLOOKUP(A494,data!A:C,3,FALSE)-F494)=0,"No Change","Price Changed")</f>
        <v>#N/A</v>
      </c>
    </row>
  </sheetData>
  <autoFilter ref="A1:G494" xr:uid="{609E3C5F-7D8F-4C3D-958B-EEB524C98FB9}">
    <filterColumn colId="6">
      <filters>
        <filter val="Price Changed"/>
        <filter val="#N/A"/>
      </filters>
    </filterColumn>
  </autoFilter>
  <conditionalFormatting sqref="A1:A11">
    <cfRule type="duplicateValues" dxfId="1" priority="13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65EB-9099-406C-AE67-585AEA6C3117}">
  <dimension ref="A1:Q729"/>
  <sheetViews>
    <sheetView zoomScale="70" zoomScaleNormal="70" workbookViewId="0">
      <selection activeCell="D2" sqref="D2:D729"/>
    </sheetView>
  </sheetViews>
  <sheetFormatPr defaultRowHeight="12.75" x14ac:dyDescent="0.2"/>
  <cols>
    <col min="1" max="1" width="11.42578125" bestFit="1" customWidth="1"/>
    <col min="2" max="2" width="10.85546875" bestFit="1" customWidth="1"/>
    <col min="3" max="3" width="40.42578125" bestFit="1" customWidth="1"/>
    <col min="5" max="5" width="35" bestFit="1" customWidth="1"/>
    <col min="6" max="6" width="18.140625" bestFit="1" customWidth="1"/>
    <col min="7" max="7" width="9.28515625" bestFit="1" customWidth="1"/>
    <col min="8" max="8" width="14.5703125" bestFit="1" customWidth="1"/>
    <col min="9" max="9" width="11.28515625" bestFit="1" customWidth="1"/>
    <col min="10" max="10" width="14.28515625" bestFit="1" customWidth="1"/>
    <col min="11" max="11" width="14.5703125" bestFit="1" customWidth="1"/>
    <col min="12" max="12" width="17.7109375" bestFit="1" customWidth="1"/>
    <col min="13" max="13" width="9.28515625" bestFit="1" customWidth="1"/>
    <col min="14" max="14" width="12" bestFit="1" customWidth="1"/>
    <col min="15" max="15" width="11.85546875" bestFit="1" customWidth="1"/>
    <col min="16" max="16" width="12.28515625" bestFit="1" customWidth="1"/>
    <col min="17" max="17" width="9.85546875" bestFit="1" customWidth="1"/>
  </cols>
  <sheetData>
    <row r="1" spans="1:17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</row>
    <row r="2" spans="1:17" x14ac:dyDescent="0.2">
      <c r="A2" t="s">
        <v>156</v>
      </c>
      <c r="B2" t="s">
        <v>157</v>
      </c>
      <c r="C2" t="s">
        <v>158</v>
      </c>
      <c r="D2" s="8">
        <v>43564</v>
      </c>
      <c r="E2" t="s">
        <v>97</v>
      </c>
      <c r="F2" t="s">
        <v>67</v>
      </c>
      <c r="G2" t="s">
        <v>68</v>
      </c>
      <c r="H2">
        <v>1</v>
      </c>
      <c r="I2">
        <v>67.27</v>
      </c>
      <c r="J2" t="s">
        <v>69</v>
      </c>
      <c r="K2" t="s">
        <v>70</v>
      </c>
      <c r="L2" t="s">
        <v>71</v>
      </c>
      <c r="M2" t="s">
        <v>72</v>
      </c>
      <c r="N2">
        <v>1</v>
      </c>
      <c r="O2">
        <v>0</v>
      </c>
      <c r="P2">
        <v>0</v>
      </c>
      <c r="Q2">
        <v>1</v>
      </c>
    </row>
    <row r="3" spans="1:17" x14ac:dyDescent="0.2">
      <c r="A3" t="s">
        <v>156</v>
      </c>
      <c r="B3" t="s">
        <v>157</v>
      </c>
      <c r="C3" t="s">
        <v>158</v>
      </c>
      <c r="D3" s="8">
        <v>12613402</v>
      </c>
      <c r="E3" t="s">
        <v>73</v>
      </c>
      <c r="F3" t="s">
        <v>67</v>
      </c>
      <c r="G3" t="s">
        <v>68</v>
      </c>
      <c r="H3">
        <v>6</v>
      </c>
      <c r="I3">
        <v>18.32</v>
      </c>
      <c r="J3" t="s">
        <v>69</v>
      </c>
      <c r="K3" t="s">
        <v>70</v>
      </c>
      <c r="L3" t="s">
        <v>71</v>
      </c>
      <c r="M3" t="s">
        <v>72</v>
      </c>
      <c r="N3">
        <v>0.01</v>
      </c>
      <c r="O3">
        <v>1.0000000000000009E-2</v>
      </c>
      <c r="P3">
        <v>6</v>
      </c>
      <c r="Q3">
        <v>0</v>
      </c>
    </row>
    <row r="4" spans="1:17" x14ac:dyDescent="0.2">
      <c r="A4" t="s">
        <v>156</v>
      </c>
      <c r="B4" t="s">
        <v>157</v>
      </c>
      <c r="C4" t="s">
        <v>158</v>
      </c>
      <c r="D4" s="8">
        <v>12605994</v>
      </c>
      <c r="E4" t="s">
        <v>85</v>
      </c>
      <c r="F4" t="s">
        <v>67</v>
      </c>
      <c r="G4" t="s">
        <v>68</v>
      </c>
      <c r="H4">
        <v>2</v>
      </c>
      <c r="I4">
        <v>37.5</v>
      </c>
      <c r="J4" t="s">
        <v>69</v>
      </c>
      <c r="K4" t="s">
        <v>70</v>
      </c>
      <c r="L4" t="s">
        <v>71</v>
      </c>
      <c r="M4" t="s">
        <v>72</v>
      </c>
      <c r="N4">
        <v>0.01</v>
      </c>
      <c r="O4">
        <v>1.0000000000000009E-2</v>
      </c>
      <c r="P4">
        <v>2</v>
      </c>
      <c r="Q4">
        <v>0</v>
      </c>
    </row>
    <row r="5" spans="1:17" x14ac:dyDescent="0.2">
      <c r="A5" t="s">
        <v>156</v>
      </c>
      <c r="B5" t="s">
        <v>157</v>
      </c>
      <c r="C5" t="s">
        <v>158</v>
      </c>
      <c r="D5" s="8">
        <v>12436421</v>
      </c>
      <c r="E5" t="s">
        <v>6</v>
      </c>
      <c r="F5" t="s">
        <v>67</v>
      </c>
      <c r="G5" t="s">
        <v>68</v>
      </c>
      <c r="H5">
        <v>4</v>
      </c>
      <c r="I5">
        <v>42.99</v>
      </c>
      <c r="J5" t="s">
        <v>69</v>
      </c>
      <c r="K5" t="s">
        <v>70</v>
      </c>
      <c r="L5" t="s">
        <v>71</v>
      </c>
      <c r="M5" t="s">
        <v>72</v>
      </c>
      <c r="N5">
        <v>0.02</v>
      </c>
      <c r="O5">
        <v>2.0000000000000018E-2</v>
      </c>
      <c r="P5">
        <v>4</v>
      </c>
      <c r="Q5">
        <v>0</v>
      </c>
    </row>
    <row r="6" spans="1:17" x14ac:dyDescent="0.2">
      <c r="A6" t="s">
        <v>156</v>
      </c>
      <c r="B6" t="s">
        <v>157</v>
      </c>
      <c r="C6" t="s">
        <v>158</v>
      </c>
      <c r="D6" s="8">
        <v>12604377</v>
      </c>
      <c r="E6" t="s">
        <v>93</v>
      </c>
      <c r="F6" t="s">
        <v>67</v>
      </c>
      <c r="G6" t="s">
        <v>68</v>
      </c>
      <c r="H6">
        <v>5</v>
      </c>
      <c r="I6">
        <v>67.27</v>
      </c>
      <c r="J6" t="s">
        <v>69</v>
      </c>
      <c r="K6" t="s">
        <v>70</v>
      </c>
      <c r="L6" t="s">
        <v>71</v>
      </c>
      <c r="M6" t="s">
        <v>72</v>
      </c>
      <c r="N6">
        <v>0.03</v>
      </c>
      <c r="O6">
        <v>3.0000000000000027E-2</v>
      </c>
      <c r="P6">
        <v>5</v>
      </c>
      <c r="Q6">
        <v>0</v>
      </c>
    </row>
    <row r="7" spans="1:17" x14ac:dyDescent="0.2">
      <c r="A7" t="s">
        <v>156</v>
      </c>
      <c r="B7" t="s">
        <v>157</v>
      </c>
      <c r="C7" t="s">
        <v>158</v>
      </c>
      <c r="D7" s="8">
        <v>12560070</v>
      </c>
      <c r="E7" t="s">
        <v>15</v>
      </c>
      <c r="F7" t="s">
        <v>67</v>
      </c>
      <c r="G7" t="s">
        <v>68</v>
      </c>
      <c r="H7">
        <v>8</v>
      </c>
      <c r="I7">
        <v>38.28</v>
      </c>
      <c r="J7" t="s">
        <v>69</v>
      </c>
      <c r="K7" t="s">
        <v>70</v>
      </c>
      <c r="L7" t="s">
        <v>71</v>
      </c>
      <c r="M7" t="s">
        <v>72</v>
      </c>
      <c r="N7">
        <v>0.01</v>
      </c>
      <c r="O7">
        <v>1.0000000000000009E-2</v>
      </c>
      <c r="P7">
        <v>8</v>
      </c>
      <c r="Q7">
        <v>0</v>
      </c>
    </row>
    <row r="8" spans="1:17" x14ac:dyDescent="0.2">
      <c r="A8" t="s">
        <v>159</v>
      </c>
      <c r="B8" t="s">
        <v>160</v>
      </c>
      <c r="C8" t="s">
        <v>161</v>
      </c>
      <c r="D8" s="8">
        <v>12613402</v>
      </c>
      <c r="E8" t="s">
        <v>73</v>
      </c>
      <c r="F8" t="s">
        <v>67</v>
      </c>
      <c r="G8" t="s">
        <v>68</v>
      </c>
      <c r="H8">
        <v>6</v>
      </c>
      <c r="I8">
        <v>18.32</v>
      </c>
      <c r="J8" t="s">
        <v>69</v>
      </c>
      <c r="K8" t="s">
        <v>70</v>
      </c>
      <c r="L8" t="s">
        <v>71</v>
      </c>
      <c r="M8" t="s">
        <v>72</v>
      </c>
      <c r="N8">
        <v>0.01</v>
      </c>
      <c r="O8">
        <v>1.0000000000000009E-2</v>
      </c>
      <c r="P8">
        <v>6</v>
      </c>
      <c r="Q8">
        <v>0</v>
      </c>
    </row>
    <row r="9" spans="1:17" x14ac:dyDescent="0.2">
      <c r="A9" t="s">
        <v>159</v>
      </c>
      <c r="B9" t="s">
        <v>160</v>
      </c>
      <c r="C9" t="s">
        <v>161</v>
      </c>
      <c r="D9" s="8">
        <v>12605969</v>
      </c>
      <c r="E9" t="s">
        <v>66</v>
      </c>
      <c r="F9" t="s">
        <v>67</v>
      </c>
      <c r="G9" t="s">
        <v>68</v>
      </c>
      <c r="H9">
        <v>2</v>
      </c>
      <c r="I9">
        <v>37.5</v>
      </c>
      <c r="J9" t="s">
        <v>69</v>
      </c>
      <c r="K9" t="s">
        <v>70</v>
      </c>
      <c r="L9" t="s">
        <v>71</v>
      </c>
      <c r="M9" t="s">
        <v>72</v>
      </c>
      <c r="N9">
        <v>0.01</v>
      </c>
      <c r="O9">
        <v>1.0000000000000009E-2</v>
      </c>
      <c r="P9">
        <v>2</v>
      </c>
      <c r="Q9">
        <v>0</v>
      </c>
    </row>
    <row r="10" spans="1:17" x14ac:dyDescent="0.2">
      <c r="A10" t="s">
        <v>159</v>
      </c>
      <c r="B10" t="s">
        <v>160</v>
      </c>
      <c r="C10" t="s">
        <v>161</v>
      </c>
      <c r="D10" s="8">
        <v>12436421</v>
      </c>
      <c r="E10" t="s">
        <v>6</v>
      </c>
      <c r="F10" t="s">
        <v>67</v>
      </c>
      <c r="G10" t="s">
        <v>68</v>
      </c>
      <c r="H10">
        <v>4</v>
      </c>
      <c r="I10">
        <v>42.99</v>
      </c>
      <c r="J10" t="s">
        <v>69</v>
      </c>
      <c r="K10" t="s">
        <v>70</v>
      </c>
      <c r="L10" t="s">
        <v>71</v>
      </c>
      <c r="M10" t="s">
        <v>72</v>
      </c>
      <c r="N10">
        <v>0.02</v>
      </c>
      <c r="O10">
        <v>2.0000000000000018E-2</v>
      </c>
      <c r="P10">
        <v>4</v>
      </c>
      <c r="Q10">
        <v>0</v>
      </c>
    </row>
    <row r="11" spans="1:17" x14ac:dyDescent="0.2">
      <c r="A11" t="s">
        <v>159</v>
      </c>
      <c r="B11" t="s">
        <v>160</v>
      </c>
      <c r="C11" t="s">
        <v>161</v>
      </c>
      <c r="D11" s="8">
        <v>12604377</v>
      </c>
      <c r="E11" t="s">
        <v>93</v>
      </c>
      <c r="F11" t="s">
        <v>67</v>
      </c>
      <c r="G11" t="s">
        <v>68</v>
      </c>
      <c r="H11">
        <v>5</v>
      </c>
      <c r="I11">
        <v>67.27</v>
      </c>
      <c r="J11" t="s">
        <v>69</v>
      </c>
      <c r="K11" t="s">
        <v>70</v>
      </c>
      <c r="L11" t="s">
        <v>71</v>
      </c>
      <c r="M11" t="s">
        <v>72</v>
      </c>
      <c r="N11">
        <v>0.03</v>
      </c>
      <c r="O11">
        <v>3.0000000000000027E-2</v>
      </c>
      <c r="P11">
        <v>5</v>
      </c>
      <c r="Q11">
        <v>0</v>
      </c>
    </row>
    <row r="12" spans="1:17" x14ac:dyDescent="0.2">
      <c r="A12" t="s">
        <v>159</v>
      </c>
      <c r="B12" t="s">
        <v>160</v>
      </c>
      <c r="C12" t="s">
        <v>161</v>
      </c>
      <c r="D12" s="8">
        <v>12575127</v>
      </c>
      <c r="E12" t="s">
        <v>13</v>
      </c>
      <c r="F12" t="s">
        <v>67</v>
      </c>
      <c r="G12" t="s">
        <v>68</v>
      </c>
      <c r="H12">
        <v>12</v>
      </c>
      <c r="I12">
        <v>103.97</v>
      </c>
      <c r="J12" t="s">
        <v>69</v>
      </c>
      <c r="K12" t="s">
        <v>70</v>
      </c>
      <c r="L12" t="s">
        <v>71</v>
      </c>
      <c r="M12" t="s">
        <v>72</v>
      </c>
      <c r="N12">
        <v>0.02</v>
      </c>
      <c r="O12">
        <v>2.0000000000000018E-2</v>
      </c>
      <c r="P12">
        <v>12</v>
      </c>
      <c r="Q12">
        <v>0</v>
      </c>
    </row>
    <row r="13" spans="1:17" x14ac:dyDescent="0.2">
      <c r="A13" t="s">
        <v>159</v>
      </c>
      <c r="B13" t="s">
        <v>160</v>
      </c>
      <c r="C13" t="s">
        <v>161</v>
      </c>
      <c r="D13" s="8">
        <v>12560070</v>
      </c>
      <c r="E13" t="s">
        <v>15</v>
      </c>
      <c r="F13" t="s">
        <v>67</v>
      </c>
      <c r="G13" t="s">
        <v>68</v>
      </c>
      <c r="H13">
        <v>8</v>
      </c>
      <c r="I13">
        <v>38.28</v>
      </c>
      <c r="J13" t="s">
        <v>69</v>
      </c>
      <c r="K13" t="s">
        <v>70</v>
      </c>
      <c r="L13" t="s">
        <v>71</v>
      </c>
      <c r="M13" t="s">
        <v>72</v>
      </c>
      <c r="N13">
        <v>0.01</v>
      </c>
      <c r="O13">
        <v>1.0000000000000009E-2</v>
      </c>
      <c r="P13">
        <v>8</v>
      </c>
      <c r="Q13">
        <v>0</v>
      </c>
    </row>
    <row r="14" spans="1:17" x14ac:dyDescent="0.2">
      <c r="A14" t="s">
        <v>162</v>
      </c>
      <c r="B14" t="s">
        <v>163</v>
      </c>
      <c r="C14" t="s">
        <v>164</v>
      </c>
      <c r="D14" s="8">
        <v>12613402</v>
      </c>
      <c r="E14" t="s">
        <v>73</v>
      </c>
      <c r="F14" t="s">
        <v>67</v>
      </c>
      <c r="G14" t="s">
        <v>68</v>
      </c>
      <c r="H14">
        <v>6</v>
      </c>
      <c r="I14">
        <v>18.32</v>
      </c>
      <c r="J14" t="s">
        <v>69</v>
      </c>
      <c r="K14" t="s">
        <v>70</v>
      </c>
      <c r="L14" t="s">
        <v>71</v>
      </c>
      <c r="M14" t="s">
        <v>72</v>
      </c>
      <c r="N14">
        <v>0.01</v>
      </c>
      <c r="O14">
        <v>1.0000000000000009E-2</v>
      </c>
      <c r="P14">
        <v>6</v>
      </c>
      <c r="Q14">
        <v>0</v>
      </c>
    </row>
    <row r="15" spans="1:17" x14ac:dyDescent="0.2">
      <c r="A15" t="s">
        <v>162</v>
      </c>
      <c r="B15" t="s">
        <v>163</v>
      </c>
      <c r="C15" t="s">
        <v>164</v>
      </c>
      <c r="D15" s="8">
        <v>12605969</v>
      </c>
      <c r="E15" t="s">
        <v>66</v>
      </c>
      <c r="F15" t="s">
        <v>67</v>
      </c>
      <c r="G15" t="s">
        <v>68</v>
      </c>
      <c r="H15">
        <v>2</v>
      </c>
      <c r="I15">
        <v>37.5</v>
      </c>
      <c r="J15" t="s">
        <v>69</v>
      </c>
      <c r="K15" t="s">
        <v>70</v>
      </c>
      <c r="L15" t="s">
        <v>71</v>
      </c>
      <c r="M15" t="s">
        <v>72</v>
      </c>
      <c r="N15">
        <v>0.01</v>
      </c>
      <c r="O15">
        <v>1.0000000000000009E-2</v>
      </c>
      <c r="P15">
        <v>2</v>
      </c>
      <c r="Q15">
        <v>0</v>
      </c>
    </row>
    <row r="16" spans="1:17" x14ac:dyDescent="0.2">
      <c r="A16" t="s">
        <v>162</v>
      </c>
      <c r="B16" t="s">
        <v>163</v>
      </c>
      <c r="C16" t="s">
        <v>164</v>
      </c>
      <c r="D16" s="8">
        <v>12436421</v>
      </c>
      <c r="E16" t="s">
        <v>6</v>
      </c>
      <c r="F16" t="s">
        <v>67</v>
      </c>
      <c r="G16" t="s">
        <v>68</v>
      </c>
      <c r="H16">
        <v>4</v>
      </c>
      <c r="I16">
        <v>42.99</v>
      </c>
      <c r="J16" t="s">
        <v>69</v>
      </c>
      <c r="K16" t="s">
        <v>70</v>
      </c>
      <c r="L16" t="s">
        <v>71</v>
      </c>
      <c r="M16" t="s">
        <v>72</v>
      </c>
      <c r="N16">
        <v>0.02</v>
      </c>
      <c r="O16">
        <v>2.0000000000000018E-2</v>
      </c>
      <c r="P16">
        <v>4</v>
      </c>
      <c r="Q16">
        <v>0</v>
      </c>
    </row>
    <row r="17" spans="1:17" x14ac:dyDescent="0.2">
      <c r="A17" t="s">
        <v>162</v>
      </c>
      <c r="B17" t="s">
        <v>163</v>
      </c>
      <c r="C17" t="s">
        <v>164</v>
      </c>
      <c r="D17" s="8">
        <v>12575127</v>
      </c>
      <c r="E17" t="s">
        <v>13</v>
      </c>
      <c r="F17" t="s">
        <v>67</v>
      </c>
      <c r="G17" t="s">
        <v>68</v>
      </c>
      <c r="H17">
        <v>12</v>
      </c>
      <c r="I17">
        <v>103.97</v>
      </c>
      <c r="J17" t="s">
        <v>69</v>
      </c>
      <c r="K17" t="s">
        <v>70</v>
      </c>
      <c r="L17" t="s">
        <v>71</v>
      </c>
      <c r="M17" t="s">
        <v>72</v>
      </c>
      <c r="N17">
        <v>0.02</v>
      </c>
      <c r="O17">
        <v>2.0000000000000018E-2</v>
      </c>
      <c r="P17">
        <v>12</v>
      </c>
      <c r="Q17">
        <v>0</v>
      </c>
    </row>
    <row r="18" spans="1:17" x14ac:dyDescent="0.2">
      <c r="A18" t="s">
        <v>162</v>
      </c>
      <c r="B18" t="s">
        <v>163</v>
      </c>
      <c r="C18" t="s">
        <v>164</v>
      </c>
      <c r="D18" s="8">
        <v>12560070</v>
      </c>
      <c r="E18" t="s">
        <v>15</v>
      </c>
      <c r="F18" t="s">
        <v>67</v>
      </c>
      <c r="G18" t="s">
        <v>68</v>
      </c>
      <c r="H18">
        <v>8</v>
      </c>
      <c r="I18">
        <v>38.28</v>
      </c>
      <c r="J18" t="s">
        <v>69</v>
      </c>
      <c r="K18" t="s">
        <v>70</v>
      </c>
      <c r="L18" t="s">
        <v>71</v>
      </c>
      <c r="M18" t="s">
        <v>72</v>
      </c>
      <c r="N18">
        <v>0.01</v>
      </c>
      <c r="O18">
        <v>1.0000000000000009E-2</v>
      </c>
      <c r="P18">
        <v>8</v>
      </c>
      <c r="Q18">
        <v>0</v>
      </c>
    </row>
    <row r="19" spans="1:17" x14ac:dyDescent="0.2">
      <c r="A19" t="s">
        <v>165</v>
      </c>
      <c r="B19" t="s">
        <v>166</v>
      </c>
      <c r="C19" t="s">
        <v>167</v>
      </c>
      <c r="D19" s="8">
        <v>43564</v>
      </c>
      <c r="E19" t="s">
        <v>97</v>
      </c>
      <c r="F19" t="s">
        <v>67</v>
      </c>
      <c r="G19" t="s">
        <v>68</v>
      </c>
      <c r="H19">
        <v>1</v>
      </c>
      <c r="I19">
        <v>67.27</v>
      </c>
      <c r="J19" t="s">
        <v>69</v>
      </c>
      <c r="K19" t="s">
        <v>70</v>
      </c>
      <c r="L19" t="s">
        <v>71</v>
      </c>
      <c r="M19" t="s">
        <v>72</v>
      </c>
      <c r="N19">
        <v>1</v>
      </c>
      <c r="O19">
        <v>0</v>
      </c>
      <c r="P19">
        <v>0</v>
      </c>
      <c r="Q19">
        <v>1</v>
      </c>
    </row>
    <row r="20" spans="1:17" x14ac:dyDescent="0.2">
      <c r="A20" t="s">
        <v>165</v>
      </c>
      <c r="B20" t="s">
        <v>166</v>
      </c>
      <c r="C20" t="s">
        <v>167</v>
      </c>
      <c r="D20" s="8">
        <v>12613402</v>
      </c>
      <c r="E20" t="s">
        <v>73</v>
      </c>
      <c r="F20" t="s">
        <v>67</v>
      </c>
      <c r="G20" t="s">
        <v>68</v>
      </c>
      <c r="H20">
        <v>6</v>
      </c>
      <c r="I20">
        <v>18.32</v>
      </c>
      <c r="J20" t="s">
        <v>69</v>
      </c>
      <c r="K20" t="s">
        <v>70</v>
      </c>
      <c r="L20" t="s">
        <v>71</v>
      </c>
      <c r="M20" t="s">
        <v>72</v>
      </c>
      <c r="N20">
        <v>0.01</v>
      </c>
      <c r="O20">
        <v>1.0000000000000009E-2</v>
      </c>
      <c r="P20">
        <v>6</v>
      </c>
      <c r="Q20">
        <v>0</v>
      </c>
    </row>
    <row r="21" spans="1:17" x14ac:dyDescent="0.2">
      <c r="A21" t="s">
        <v>165</v>
      </c>
      <c r="B21" t="s">
        <v>166</v>
      </c>
      <c r="C21" t="s">
        <v>167</v>
      </c>
      <c r="D21" s="8">
        <v>12605969</v>
      </c>
      <c r="E21" t="s">
        <v>66</v>
      </c>
      <c r="F21" t="s">
        <v>67</v>
      </c>
      <c r="G21" t="s">
        <v>68</v>
      </c>
      <c r="H21">
        <v>2</v>
      </c>
      <c r="I21">
        <v>37.5</v>
      </c>
      <c r="J21" t="s">
        <v>69</v>
      </c>
      <c r="K21" t="s">
        <v>70</v>
      </c>
      <c r="L21" t="s">
        <v>71</v>
      </c>
      <c r="M21" t="s">
        <v>72</v>
      </c>
      <c r="N21">
        <v>0.01</v>
      </c>
      <c r="O21">
        <v>1.0000000000000009E-2</v>
      </c>
      <c r="P21">
        <v>2</v>
      </c>
      <c r="Q21">
        <v>0</v>
      </c>
    </row>
    <row r="22" spans="1:17" x14ac:dyDescent="0.2">
      <c r="A22" t="s">
        <v>165</v>
      </c>
      <c r="B22" t="s">
        <v>166</v>
      </c>
      <c r="C22" t="s">
        <v>167</v>
      </c>
      <c r="D22" s="8">
        <v>12436421</v>
      </c>
      <c r="E22" t="s">
        <v>6</v>
      </c>
      <c r="F22" t="s">
        <v>67</v>
      </c>
      <c r="G22" t="s">
        <v>68</v>
      </c>
      <c r="H22">
        <v>4</v>
      </c>
      <c r="I22">
        <v>42.99</v>
      </c>
      <c r="J22" t="s">
        <v>69</v>
      </c>
      <c r="K22" t="s">
        <v>70</v>
      </c>
      <c r="L22" t="s">
        <v>71</v>
      </c>
      <c r="M22" t="s">
        <v>72</v>
      </c>
      <c r="N22">
        <v>0.02</v>
      </c>
      <c r="O22">
        <v>2.0000000000000018E-2</v>
      </c>
      <c r="P22">
        <v>4</v>
      </c>
      <c r="Q22">
        <v>0</v>
      </c>
    </row>
    <row r="23" spans="1:17" x14ac:dyDescent="0.2">
      <c r="A23" t="s">
        <v>165</v>
      </c>
      <c r="B23" t="s">
        <v>166</v>
      </c>
      <c r="C23" t="s">
        <v>167</v>
      </c>
      <c r="D23" s="8">
        <v>12604377</v>
      </c>
      <c r="E23" t="s">
        <v>93</v>
      </c>
      <c r="F23" t="s">
        <v>67</v>
      </c>
      <c r="G23" t="s">
        <v>68</v>
      </c>
      <c r="H23">
        <v>5</v>
      </c>
      <c r="I23">
        <v>67.27</v>
      </c>
      <c r="J23" t="s">
        <v>69</v>
      </c>
      <c r="K23" t="s">
        <v>70</v>
      </c>
      <c r="L23" t="s">
        <v>71</v>
      </c>
      <c r="M23" t="s">
        <v>72</v>
      </c>
      <c r="N23">
        <v>0.03</v>
      </c>
      <c r="O23">
        <v>3.0000000000000027E-2</v>
      </c>
      <c r="P23">
        <v>5</v>
      </c>
      <c r="Q23">
        <v>0</v>
      </c>
    </row>
    <row r="24" spans="1:17" x14ac:dyDescent="0.2">
      <c r="A24" t="s">
        <v>165</v>
      </c>
      <c r="B24" t="s">
        <v>166</v>
      </c>
      <c r="C24" t="s">
        <v>167</v>
      </c>
      <c r="D24" s="8">
        <v>12575127</v>
      </c>
      <c r="E24" t="s">
        <v>13</v>
      </c>
      <c r="F24" t="s">
        <v>67</v>
      </c>
      <c r="G24" t="s">
        <v>68</v>
      </c>
      <c r="H24">
        <v>12</v>
      </c>
      <c r="I24">
        <v>103.97</v>
      </c>
      <c r="J24" t="s">
        <v>69</v>
      </c>
      <c r="K24" t="s">
        <v>70</v>
      </c>
      <c r="L24" t="s">
        <v>71</v>
      </c>
      <c r="M24" t="s">
        <v>72</v>
      </c>
      <c r="N24">
        <v>0.02</v>
      </c>
      <c r="O24">
        <v>2.0000000000000018E-2</v>
      </c>
      <c r="P24">
        <v>12</v>
      </c>
      <c r="Q24">
        <v>0</v>
      </c>
    </row>
    <row r="25" spans="1:17" x14ac:dyDescent="0.2">
      <c r="A25" t="s">
        <v>165</v>
      </c>
      <c r="B25" t="s">
        <v>166</v>
      </c>
      <c r="C25" t="s">
        <v>167</v>
      </c>
      <c r="D25" s="8">
        <v>12560070</v>
      </c>
      <c r="E25" t="s">
        <v>15</v>
      </c>
      <c r="F25" t="s">
        <v>67</v>
      </c>
      <c r="G25" t="s">
        <v>68</v>
      </c>
      <c r="H25">
        <v>8</v>
      </c>
      <c r="I25">
        <v>38.28</v>
      </c>
      <c r="J25" t="s">
        <v>69</v>
      </c>
      <c r="K25" t="s">
        <v>70</v>
      </c>
      <c r="L25" t="s">
        <v>71</v>
      </c>
      <c r="M25" t="s">
        <v>72</v>
      </c>
      <c r="N25">
        <v>0.01</v>
      </c>
      <c r="O25">
        <v>1.0000000000000009E-2</v>
      </c>
      <c r="P25">
        <v>8</v>
      </c>
      <c r="Q25">
        <v>0</v>
      </c>
    </row>
    <row r="26" spans="1:17" x14ac:dyDescent="0.2">
      <c r="A26" t="s">
        <v>168</v>
      </c>
      <c r="B26" t="s">
        <v>169</v>
      </c>
      <c r="C26" t="s">
        <v>170</v>
      </c>
      <c r="D26" s="8">
        <v>43564</v>
      </c>
      <c r="E26" t="s">
        <v>97</v>
      </c>
      <c r="F26" t="s">
        <v>67</v>
      </c>
      <c r="G26" t="s">
        <v>68</v>
      </c>
      <c r="H26">
        <v>1</v>
      </c>
      <c r="I26">
        <v>67.27</v>
      </c>
      <c r="J26" t="s">
        <v>69</v>
      </c>
      <c r="K26" t="s">
        <v>70</v>
      </c>
      <c r="L26" t="s">
        <v>71</v>
      </c>
      <c r="M26" t="s">
        <v>72</v>
      </c>
      <c r="N26">
        <v>1</v>
      </c>
      <c r="O26">
        <v>0</v>
      </c>
      <c r="P26">
        <v>0</v>
      </c>
      <c r="Q26">
        <v>1</v>
      </c>
    </row>
    <row r="27" spans="1:17" x14ac:dyDescent="0.2">
      <c r="A27" t="s">
        <v>168</v>
      </c>
      <c r="B27" t="s">
        <v>169</v>
      </c>
      <c r="C27" t="s">
        <v>170</v>
      </c>
      <c r="D27" s="8">
        <v>12613402</v>
      </c>
      <c r="E27" t="s">
        <v>73</v>
      </c>
      <c r="F27" t="s">
        <v>67</v>
      </c>
      <c r="G27" t="s">
        <v>68</v>
      </c>
      <c r="H27">
        <v>6</v>
      </c>
      <c r="I27">
        <v>18.32</v>
      </c>
      <c r="J27" t="s">
        <v>69</v>
      </c>
      <c r="K27" t="s">
        <v>70</v>
      </c>
      <c r="L27" t="s">
        <v>71</v>
      </c>
      <c r="M27" t="s">
        <v>72</v>
      </c>
      <c r="N27">
        <v>0.01</v>
      </c>
      <c r="O27">
        <v>1.0000000000000009E-2</v>
      </c>
      <c r="P27">
        <v>6</v>
      </c>
      <c r="Q27">
        <v>0</v>
      </c>
    </row>
    <row r="28" spans="1:17" x14ac:dyDescent="0.2">
      <c r="A28" t="s">
        <v>168</v>
      </c>
      <c r="B28" t="s">
        <v>169</v>
      </c>
      <c r="C28" t="s">
        <v>170</v>
      </c>
      <c r="D28" s="8">
        <v>12605969</v>
      </c>
      <c r="E28" t="s">
        <v>66</v>
      </c>
      <c r="F28" t="s">
        <v>67</v>
      </c>
      <c r="G28" t="s">
        <v>68</v>
      </c>
      <c r="H28">
        <v>2</v>
      </c>
      <c r="I28">
        <v>37.5</v>
      </c>
      <c r="J28" t="s">
        <v>69</v>
      </c>
      <c r="K28" t="s">
        <v>70</v>
      </c>
      <c r="L28" t="s">
        <v>71</v>
      </c>
      <c r="M28" t="s">
        <v>72</v>
      </c>
      <c r="N28">
        <v>0.01</v>
      </c>
      <c r="O28">
        <v>1.0000000000000009E-2</v>
      </c>
      <c r="P28">
        <v>2</v>
      </c>
      <c r="Q28">
        <v>0</v>
      </c>
    </row>
    <row r="29" spans="1:17" x14ac:dyDescent="0.2">
      <c r="A29" t="s">
        <v>168</v>
      </c>
      <c r="B29" t="s">
        <v>169</v>
      </c>
      <c r="C29" t="s">
        <v>170</v>
      </c>
      <c r="D29" s="8">
        <v>12436421</v>
      </c>
      <c r="E29" t="s">
        <v>6</v>
      </c>
      <c r="F29" t="s">
        <v>67</v>
      </c>
      <c r="G29" t="s">
        <v>68</v>
      </c>
      <c r="H29">
        <v>4</v>
      </c>
      <c r="I29">
        <v>42.99</v>
      </c>
      <c r="J29" t="s">
        <v>69</v>
      </c>
      <c r="K29" t="s">
        <v>70</v>
      </c>
      <c r="L29" t="s">
        <v>71</v>
      </c>
      <c r="M29" t="s">
        <v>72</v>
      </c>
      <c r="N29">
        <v>0.02</v>
      </c>
      <c r="O29">
        <v>2.0000000000000018E-2</v>
      </c>
      <c r="P29">
        <v>4</v>
      </c>
      <c r="Q29">
        <v>0</v>
      </c>
    </row>
    <row r="30" spans="1:17" x14ac:dyDescent="0.2">
      <c r="A30" t="s">
        <v>168</v>
      </c>
      <c r="B30" t="s">
        <v>169</v>
      </c>
      <c r="C30" t="s">
        <v>170</v>
      </c>
      <c r="D30" s="8">
        <v>12604377</v>
      </c>
      <c r="E30" t="s">
        <v>93</v>
      </c>
      <c r="F30" t="s">
        <v>67</v>
      </c>
      <c r="G30" t="s">
        <v>68</v>
      </c>
      <c r="H30">
        <v>5</v>
      </c>
      <c r="I30">
        <v>67.27</v>
      </c>
      <c r="J30" t="s">
        <v>69</v>
      </c>
      <c r="K30" t="s">
        <v>70</v>
      </c>
      <c r="L30" t="s">
        <v>71</v>
      </c>
      <c r="M30" t="s">
        <v>72</v>
      </c>
      <c r="N30">
        <v>0.03</v>
      </c>
      <c r="O30">
        <v>3.0000000000000027E-2</v>
      </c>
      <c r="P30">
        <v>5</v>
      </c>
      <c r="Q30">
        <v>0</v>
      </c>
    </row>
    <row r="31" spans="1:17" x14ac:dyDescent="0.2">
      <c r="A31" t="s">
        <v>168</v>
      </c>
      <c r="B31" t="s">
        <v>169</v>
      </c>
      <c r="C31" t="s">
        <v>170</v>
      </c>
      <c r="D31" s="8">
        <v>12575127</v>
      </c>
      <c r="E31" t="s">
        <v>13</v>
      </c>
      <c r="F31" t="s">
        <v>67</v>
      </c>
      <c r="G31" t="s">
        <v>68</v>
      </c>
      <c r="H31">
        <v>12</v>
      </c>
      <c r="I31">
        <v>103.97</v>
      </c>
      <c r="J31" t="s">
        <v>69</v>
      </c>
      <c r="K31" t="s">
        <v>70</v>
      </c>
      <c r="L31" t="s">
        <v>71</v>
      </c>
      <c r="M31" t="s">
        <v>72</v>
      </c>
      <c r="N31">
        <v>0.02</v>
      </c>
      <c r="O31">
        <v>2.0000000000000018E-2</v>
      </c>
      <c r="P31">
        <v>12</v>
      </c>
      <c r="Q31">
        <v>0</v>
      </c>
    </row>
    <row r="32" spans="1:17" x14ac:dyDescent="0.2">
      <c r="A32" t="s">
        <v>168</v>
      </c>
      <c r="B32" t="s">
        <v>169</v>
      </c>
      <c r="C32" t="s">
        <v>170</v>
      </c>
      <c r="D32" s="8">
        <v>12560070</v>
      </c>
      <c r="E32" t="s">
        <v>15</v>
      </c>
      <c r="F32" t="s">
        <v>67</v>
      </c>
      <c r="G32" t="s">
        <v>68</v>
      </c>
      <c r="H32">
        <v>8</v>
      </c>
      <c r="I32">
        <v>38.28</v>
      </c>
      <c r="J32" t="s">
        <v>69</v>
      </c>
      <c r="K32" t="s">
        <v>70</v>
      </c>
      <c r="L32" t="s">
        <v>71</v>
      </c>
      <c r="M32" t="s">
        <v>72</v>
      </c>
      <c r="N32">
        <v>0.01</v>
      </c>
      <c r="O32">
        <v>1.0000000000000009E-2</v>
      </c>
      <c r="P32">
        <v>8</v>
      </c>
      <c r="Q32">
        <v>0</v>
      </c>
    </row>
    <row r="33" spans="1:17" x14ac:dyDescent="0.2">
      <c r="A33" t="s">
        <v>171</v>
      </c>
      <c r="B33" t="s">
        <v>172</v>
      </c>
      <c r="C33" t="s">
        <v>173</v>
      </c>
      <c r="D33" s="8">
        <v>12436421</v>
      </c>
      <c r="E33" t="s">
        <v>6</v>
      </c>
      <c r="F33" t="s">
        <v>67</v>
      </c>
      <c r="G33" t="s">
        <v>68</v>
      </c>
      <c r="H33">
        <v>8</v>
      </c>
      <c r="I33">
        <v>85.97</v>
      </c>
      <c r="J33" t="s">
        <v>91</v>
      </c>
      <c r="K33" t="s">
        <v>70</v>
      </c>
      <c r="L33" t="s">
        <v>71</v>
      </c>
      <c r="M33" t="s">
        <v>72</v>
      </c>
      <c r="N33">
        <v>0.04</v>
      </c>
      <c r="O33">
        <v>4.0000000000000036E-2</v>
      </c>
      <c r="P33">
        <v>8</v>
      </c>
      <c r="Q33">
        <v>0</v>
      </c>
    </row>
    <row r="34" spans="1:17" x14ac:dyDescent="0.2">
      <c r="A34" t="s">
        <v>174</v>
      </c>
      <c r="B34" t="s">
        <v>175</v>
      </c>
      <c r="C34" t="s">
        <v>176</v>
      </c>
      <c r="D34" s="8">
        <v>12436421</v>
      </c>
      <c r="E34" t="s">
        <v>6</v>
      </c>
      <c r="F34" t="s">
        <v>67</v>
      </c>
      <c r="G34" t="s">
        <v>68</v>
      </c>
      <c r="H34">
        <v>8</v>
      </c>
      <c r="I34">
        <v>85.97</v>
      </c>
      <c r="J34" t="s">
        <v>91</v>
      </c>
      <c r="K34" t="s">
        <v>70</v>
      </c>
      <c r="L34" t="s">
        <v>71</v>
      </c>
      <c r="M34" t="s">
        <v>72</v>
      </c>
      <c r="N34">
        <v>0.04</v>
      </c>
      <c r="O34">
        <v>4.0000000000000036E-2</v>
      </c>
      <c r="P34">
        <v>8</v>
      </c>
      <c r="Q34">
        <v>0</v>
      </c>
    </row>
    <row r="35" spans="1:17" x14ac:dyDescent="0.2">
      <c r="A35" t="s">
        <v>177</v>
      </c>
      <c r="B35" t="s">
        <v>178</v>
      </c>
      <c r="C35" t="s">
        <v>179</v>
      </c>
      <c r="D35" s="8">
        <v>12436421</v>
      </c>
      <c r="E35" t="s">
        <v>6</v>
      </c>
      <c r="F35" t="s">
        <v>67</v>
      </c>
      <c r="G35" t="s">
        <v>68</v>
      </c>
      <c r="H35">
        <v>8</v>
      </c>
      <c r="I35">
        <v>85.97</v>
      </c>
      <c r="J35" t="s">
        <v>91</v>
      </c>
      <c r="K35" t="s">
        <v>70</v>
      </c>
      <c r="L35" t="s">
        <v>71</v>
      </c>
      <c r="M35" t="s">
        <v>72</v>
      </c>
      <c r="N35">
        <v>0.04</v>
      </c>
      <c r="O35">
        <v>4.0000000000000036E-2</v>
      </c>
      <c r="P35">
        <v>8</v>
      </c>
      <c r="Q35">
        <v>0</v>
      </c>
    </row>
    <row r="36" spans="1:17" x14ac:dyDescent="0.2">
      <c r="A36" t="s">
        <v>180</v>
      </c>
      <c r="B36" t="s">
        <v>181</v>
      </c>
      <c r="C36" t="s">
        <v>182</v>
      </c>
      <c r="D36" s="8">
        <v>12436421</v>
      </c>
      <c r="E36" t="s">
        <v>6</v>
      </c>
      <c r="F36" t="s">
        <v>67</v>
      </c>
      <c r="G36" t="s">
        <v>68</v>
      </c>
      <c r="H36">
        <v>8</v>
      </c>
      <c r="I36">
        <v>85.97</v>
      </c>
      <c r="J36" t="s">
        <v>91</v>
      </c>
      <c r="K36" t="s">
        <v>70</v>
      </c>
      <c r="L36" t="s">
        <v>71</v>
      </c>
      <c r="M36" t="s">
        <v>72</v>
      </c>
      <c r="N36">
        <v>0.04</v>
      </c>
      <c r="O36">
        <v>4.0000000000000036E-2</v>
      </c>
      <c r="P36">
        <v>8</v>
      </c>
      <c r="Q36">
        <v>0</v>
      </c>
    </row>
    <row r="37" spans="1:17" x14ac:dyDescent="0.2">
      <c r="A37" t="s">
        <v>183</v>
      </c>
      <c r="B37" t="s">
        <v>184</v>
      </c>
      <c r="C37" t="s">
        <v>185</v>
      </c>
      <c r="D37" s="8">
        <v>43564</v>
      </c>
      <c r="E37" t="s">
        <v>97</v>
      </c>
      <c r="F37" t="s">
        <v>67</v>
      </c>
      <c r="G37" t="s">
        <v>68</v>
      </c>
      <c r="H37">
        <v>1</v>
      </c>
      <c r="I37">
        <v>67.27</v>
      </c>
      <c r="J37" t="s">
        <v>69</v>
      </c>
      <c r="K37" t="s">
        <v>70</v>
      </c>
      <c r="L37" t="s">
        <v>71</v>
      </c>
      <c r="M37" t="s">
        <v>72</v>
      </c>
      <c r="N37">
        <v>1</v>
      </c>
      <c r="O37">
        <v>0</v>
      </c>
      <c r="P37">
        <v>0</v>
      </c>
      <c r="Q37">
        <v>1</v>
      </c>
    </row>
    <row r="38" spans="1:17" x14ac:dyDescent="0.2">
      <c r="A38" t="s">
        <v>183</v>
      </c>
      <c r="B38" t="s">
        <v>184</v>
      </c>
      <c r="C38" t="s">
        <v>185</v>
      </c>
      <c r="D38" s="8">
        <v>12613402</v>
      </c>
      <c r="E38" t="s">
        <v>73</v>
      </c>
      <c r="F38" t="s">
        <v>67</v>
      </c>
      <c r="G38" t="s">
        <v>68</v>
      </c>
      <c r="H38">
        <v>6</v>
      </c>
      <c r="I38">
        <v>18.32</v>
      </c>
      <c r="J38" t="s">
        <v>69</v>
      </c>
      <c r="K38" t="s">
        <v>70</v>
      </c>
      <c r="L38" t="s">
        <v>71</v>
      </c>
      <c r="M38" t="s">
        <v>72</v>
      </c>
      <c r="N38">
        <v>0.01</v>
      </c>
      <c r="O38">
        <v>1.0000000000000009E-2</v>
      </c>
      <c r="P38">
        <v>6</v>
      </c>
      <c r="Q38">
        <v>0</v>
      </c>
    </row>
    <row r="39" spans="1:17" x14ac:dyDescent="0.2">
      <c r="A39" t="s">
        <v>183</v>
      </c>
      <c r="B39" t="s">
        <v>184</v>
      </c>
      <c r="C39" t="s">
        <v>185</v>
      </c>
      <c r="D39" s="8">
        <v>12605994</v>
      </c>
      <c r="E39" t="s">
        <v>85</v>
      </c>
      <c r="F39" t="s">
        <v>67</v>
      </c>
      <c r="G39" t="s">
        <v>68</v>
      </c>
      <c r="H39">
        <v>2</v>
      </c>
      <c r="I39">
        <v>37.5</v>
      </c>
      <c r="J39" t="s">
        <v>69</v>
      </c>
      <c r="K39" t="s">
        <v>70</v>
      </c>
      <c r="L39" t="s">
        <v>71</v>
      </c>
      <c r="M39" t="s">
        <v>72</v>
      </c>
      <c r="N39">
        <v>0.01</v>
      </c>
      <c r="O39">
        <v>1.0000000000000009E-2</v>
      </c>
      <c r="P39">
        <v>2</v>
      </c>
      <c r="Q39">
        <v>0</v>
      </c>
    </row>
    <row r="40" spans="1:17" x14ac:dyDescent="0.2">
      <c r="A40" t="s">
        <v>183</v>
      </c>
      <c r="B40" t="s">
        <v>184</v>
      </c>
      <c r="C40" t="s">
        <v>185</v>
      </c>
      <c r="D40" s="8">
        <v>12436421</v>
      </c>
      <c r="E40" t="s">
        <v>6</v>
      </c>
      <c r="F40" t="s">
        <v>67</v>
      </c>
      <c r="G40" t="s">
        <v>68</v>
      </c>
      <c r="H40">
        <v>4</v>
      </c>
      <c r="I40">
        <v>42.99</v>
      </c>
      <c r="J40" t="s">
        <v>69</v>
      </c>
      <c r="K40" t="s">
        <v>70</v>
      </c>
      <c r="L40" t="s">
        <v>71</v>
      </c>
      <c r="M40" t="s">
        <v>72</v>
      </c>
      <c r="N40">
        <v>0.02</v>
      </c>
      <c r="O40">
        <v>2.0000000000000018E-2</v>
      </c>
      <c r="P40">
        <v>4</v>
      </c>
      <c r="Q40">
        <v>0</v>
      </c>
    </row>
    <row r="41" spans="1:17" x14ac:dyDescent="0.2">
      <c r="A41" t="s">
        <v>183</v>
      </c>
      <c r="B41" t="s">
        <v>184</v>
      </c>
      <c r="C41" t="s">
        <v>185</v>
      </c>
      <c r="D41" s="8">
        <v>12560070</v>
      </c>
      <c r="E41" t="s">
        <v>15</v>
      </c>
      <c r="F41" t="s">
        <v>67</v>
      </c>
      <c r="G41" t="s">
        <v>68</v>
      </c>
      <c r="H41">
        <v>8</v>
      </c>
      <c r="I41">
        <v>38.28</v>
      </c>
      <c r="J41" t="s">
        <v>69</v>
      </c>
      <c r="K41" t="s">
        <v>70</v>
      </c>
      <c r="L41" t="s">
        <v>71</v>
      </c>
      <c r="M41" t="s">
        <v>72</v>
      </c>
      <c r="N41">
        <v>0.01</v>
      </c>
      <c r="O41">
        <v>1.0000000000000009E-2</v>
      </c>
      <c r="P41">
        <v>8</v>
      </c>
      <c r="Q41">
        <v>0</v>
      </c>
    </row>
    <row r="42" spans="1:17" x14ac:dyDescent="0.2">
      <c r="A42" t="s">
        <v>186</v>
      </c>
      <c r="B42" t="s">
        <v>187</v>
      </c>
      <c r="C42" t="s">
        <v>188</v>
      </c>
      <c r="D42" s="8">
        <v>43564</v>
      </c>
      <c r="E42" t="s">
        <v>97</v>
      </c>
      <c r="F42" t="s">
        <v>67</v>
      </c>
      <c r="G42" t="s">
        <v>68</v>
      </c>
      <c r="H42">
        <v>1</v>
      </c>
      <c r="I42">
        <v>67.27</v>
      </c>
      <c r="J42" t="s">
        <v>69</v>
      </c>
      <c r="K42" t="s">
        <v>70</v>
      </c>
      <c r="L42" t="s">
        <v>71</v>
      </c>
      <c r="M42" t="s">
        <v>72</v>
      </c>
      <c r="N42">
        <v>1</v>
      </c>
      <c r="O42">
        <v>0</v>
      </c>
      <c r="P42">
        <v>0</v>
      </c>
      <c r="Q42">
        <v>1</v>
      </c>
    </row>
    <row r="43" spans="1:17" x14ac:dyDescent="0.2">
      <c r="A43" t="s">
        <v>186</v>
      </c>
      <c r="B43" t="s">
        <v>187</v>
      </c>
      <c r="C43" t="s">
        <v>188</v>
      </c>
      <c r="D43" s="8">
        <v>12613402</v>
      </c>
      <c r="E43" t="s">
        <v>73</v>
      </c>
      <c r="F43" t="s">
        <v>67</v>
      </c>
      <c r="G43" t="s">
        <v>68</v>
      </c>
      <c r="H43">
        <v>6</v>
      </c>
      <c r="I43">
        <v>18.32</v>
      </c>
      <c r="J43" t="s">
        <v>69</v>
      </c>
      <c r="K43" t="s">
        <v>70</v>
      </c>
      <c r="L43" t="s">
        <v>71</v>
      </c>
      <c r="M43" t="s">
        <v>72</v>
      </c>
      <c r="N43">
        <v>0.01</v>
      </c>
      <c r="O43">
        <v>1.0000000000000009E-2</v>
      </c>
      <c r="P43">
        <v>6</v>
      </c>
      <c r="Q43">
        <v>0</v>
      </c>
    </row>
    <row r="44" spans="1:17" x14ac:dyDescent="0.2">
      <c r="A44" t="s">
        <v>186</v>
      </c>
      <c r="B44" t="s">
        <v>187</v>
      </c>
      <c r="C44" t="s">
        <v>188</v>
      </c>
      <c r="D44" s="8">
        <v>12436421</v>
      </c>
      <c r="E44" t="s">
        <v>6</v>
      </c>
      <c r="F44" t="s">
        <v>67</v>
      </c>
      <c r="G44" t="s">
        <v>68</v>
      </c>
      <c r="H44">
        <v>4</v>
      </c>
      <c r="I44">
        <v>42.99</v>
      </c>
      <c r="J44" t="s">
        <v>69</v>
      </c>
      <c r="K44" t="s">
        <v>70</v>
      </c>
      <c r="L44" t="s">
        <v>71</v>
      </c>
      <c r="M44" t="s">
        <v>72</v>
      </c>
      <c r="N44">
        <v>0.02</v>
      </c>
      <c r="O44">
        <v>2.0000000000000018E-2</v>
      </c>
      <c r="P44">
        <v>4</v>
      </c>
      <c r="Q44">
        <v>0</v>
      </c>
    </row>
    <row r="45" spans="1:17" x14ac:dyDescent="0.2">
      <c r="A45" t="s">
        <v>186</v>
      </c>
      <c r="B45" t="s">
        <v>187</v>
      </c>
      <c r="C45" t="s">
        <v>188</v>
      </c>
      <c r="D45" s="8">
        <v>12560070</v>
      </c>
      <c r="E45" t="s">
        <v>15</v>
      </c>
      <c r="F45" t="s">
        <v>67</v>
      </c>
      <c r="G45" t="s">
        <v>68</v>
      </c>
      <c r="H45">
        <v>8</v>
      </c>
      <c r="I45">
        <v>38.28</v>
      </c>
      <c r="J45" t="s">
        <v>69</v>
      </c>
      <c r="K45" t="s">
        <v>70</v>
      </c>
      <c r="L45" t="s">
        <v>71</v>
      </c>
      <c r="M45" t="s">
        <v>72</v>
      </c>
      <c r="N45">
        <v>0.01</v>
      </c>
      <c r="O45">
        <v>1.0000000000000009E-2</v>
      </c>
      <c r="P45">
        <v>8</v>
      </c>
      <c r="Q45">
        <v>0</v>
      </c>
    </row>
    <row r="46" spans="1:17" x14ac:dyDescent="0.2">
      <c r="A46" t="s">
        <v>189</v>
      </c>
      <c r="B46" t="s">
        <v>190</v>
      </c>
      <c r="C46" t="s">
        <v>191</v>
      </c>
      <c r="D46" s="8">
        <v>43564</v>
      </c>
      <c r="E46" t="s">
        <v>97</v>
      </c>
      <c r="F46" t="s">
        <v>67</v>
      </c>
      <c r="G46" t="s">
        <v>68</v>
      </c>
      <c r="H46">
        <v>1</v>
      </c>
      <c r="I46">
        <v>67.27</v>
      </c>
      <c r="J46" t="s">
        <v>69</v>
      </c>
      <c r="K46" t="s">
        <v>70</v>
      </c>
      <c r="L46" t="s">
        <v>71</v>
      </c>
      <c r="M46" t="s">
        <v>72</v>
      </c>
      <c r="N46">
        <v>1</v>
      </c>
      <c r="O46">
        <v>0</v>
      </c>
      <c r="P46">
        <v>0</v>
      </c>
      <c r="Q46">
        <v>1</v>
      </c>
    </row>
    <row r="47" spans="1:17" x14ac:dyDescent="0.2">
      <c r="A47" t="s">
        <v>189</v>
      </c>
      <c r="B47" t="s">
        <v>190</v>
      </c>
      <c r="C47" t="s">
        <v>191</v>
      </c>
      <c r="D47" s="8">
        <v>12613402</v>
      </c>
      <c r="E47" t="s">
        <v>73</v>
      </c>
      <c r="F47" t="s">
        <v>67</v>
      </c>
      <c r="G47" t="s">
        <v>68</v>
      </c>
      <c r="H47">
        <v>6</v>
      </c>
      <c r="I47">
        <v>18.32</v>
      </c>
      <c r="J47" t="s">
        <v>69</v>
      </c>
      <c r="K47" t="s">
        <v>70</v>
      </c>
      <c r="L47" t="s">
        <v>71</v>
      </c>
      <c r="M47" t="s">
        <v>72</v>
      </c>
      <c r="N47">
        <v>0.01</v>
      </c>
      <c r="O47">
        <v>1.0000000000000009E-2</v>
      </c>
      <c r="P47">
        <v>6</v>
      </c>
      <c r="Q47">
        <v>0</v>
      </c>
    </row>
    <row r="48" spans="1:17" x14ac:dyDescent="0.2">
      <c r="A48" t="s">
        <v>189</v>
      </c>
      <c r="B48" t="s">
        <v>190</v>
      </c>
      <c r="C48" t="s">
        <v>191</v>
      </c>
      <c r="D48" s="8">
        <v>12436421</v>
      </c>
      <c r="E48" t="s">
        <v>6</v>
      </c>
      <c r="F48" t="s">
        <v>67</v>
      </c>
      <c r="G48" t="s">
        <v>68</v>
      </c>
      <c r="H48">
        <v>4</v>
      </c>
      <c r="I48">
        <v>42.99</v>
      </c>
      <c r="J48" t="s">
        <v>69</v>
      </c>
      <c r="K48" t="s">
        <v>70</v>
      </c>
      <c r="L48" t="s">
        <v>71</v>
      </c>
      <c r="M48" t="s">
        <v>72</v>
      </c>
      <c r="N48">
        <v>0.02</v>
      </c>
      <c r="O48">
        <v>2.0000000000000018E-2</v>
      </c>
      <c r="P48">
        <v>4</v>
      </c>
      <c r="Q48">
        <v>0</v>
      </c>
    </row>
    <row r="49" spans="1:17" x14ac:dyDescent="0.2">
      <c r="A49" t="s">
        <v>189</v>
      </c>
      <c r="B49" t="s">
        <v>190</v>
      </c>
      <c r="C49" t="s">
        <v>191</v>
      </c>
      <c r="D49" s="8">
        <v>12560070</v>
      </c>
      <c r="E49" t="s">
        <v>15</v>
      </c>
      <c r="F49" t="s">
        <v>67</v>
      </c>
      <c r="G49" t="s">
        <v>68</v>
      </c>
      <c r="H49">
        <v>8</v>
      </c>
      <c r="I49">
        <v>38.28</v>
      </c>
      <c r="J49" t="s">
        <v>69</v>
      </c>
      <c r="K49" t="s">
        <v>70</v>
      </c>
      <c r="L49" t="s">
        <v>71</v>
      </c>
      <c r="M49" t="s">
        <v>72</v>
      </c>
      <c r="N49">
        <v>0.01</v>
      </c>
      <c r="O49">
        <v>1.0000000000000009E-2</v>
      </c>
      <c r="P49">
        <v>8</v>
      </c>
      <c r="Q49">
        <v>0</v>
      </c>
    </row>
    <row r="50" spans="1:17" x14ac:dyDescent="0.2">
      <c r="A50" t="s">
        <v>192</v>
      </c>
      <c r="B50" t="s">
        <v>193</v>
      </c>
      <c r="C50" t="s">
        <v>194</v>
      </c>
      <c r="D50" s="8">
        <v>43564</v>
      </c>
      <c r="E50" t="s">
        <v>97</v>
      </c>
      <c r="F50" t="s">
        <v>67</v>
      </c>
      <c r="G50" t="s">
        <v>68</v>
      </c>
      <c r="H50">
        <v>1</v>
      </c>
      <c r="I50">
        <v>67.27</v>
      </c>
      <c r="J50" t="s">
        <v>69</v>
      </c>
      <c r="K50" t="s">
        <v>70</v>
      </c>
      <c r="L50" t="s">
        <v>71</v>
      </c>
      <c r="M50" t="s">
        <v>72</v>
      </c>
      <c r="N50">
        <v>1</v>
      </c>
      <c r="O50">
        <v>0</v>
      </c>
      <c r="P50">
        <v>0</v>
      </c>
      <c r="Q50">
        <v>1</v>
      </c>
    </row>
    <row r="51" spans="1:17" x14ac:dyDescent="0.2">
      <c r="A51" t="s">
        <v>192</v>
      </c>
      <c r="B51" t="s">
        <v>193</v>
      </c>
      <c r="C51" t="s">
        <v>194</v>
      </c>
      <c r="D51" s="8">
        <v>12613402</v>
      </c>
      <c r="E51" t="s">
        <v>73</v>
      </c>
      <c r="F51" t="s">
        <v>67</v>
      </c>
      <c r="G51" t="s">
        <v>68</v>
      </c>
      <c r="H51">
        <v>6</v>
      </c>
      <c r="I51">
        <v>18.32</v>
      </c>
      <c r="J51" t="s">
        <v>69</v>
      </c>
      <c r="K51" t="s">
        <v>70</v>
      </c>
      <c r="L51" t="s">
        <v>71</v>
      </c>
      <c r="M51" t="s">
        <v>72</v>
      </c>
      <c r="N51">
        <v>0.01</v>
      </c>
      <c r="O51">
        <v>1.0000000000000009E-2</v>
      </c>
      <c r="P51">
        <v>6</v>
      </c>
      <c r="Q51">
        <v>0</v>
      </c>
    </row>
    <row r="52" spans="1:17" x14ac:dyDescent="0.2">
      <c r="A52" t="s">
        <v>192</v>
      </c>
      <c r="B52" t="s">
        <v>193</v>
      </c>
      <c r="C52" t="s">
        <v>194</v>
      </c>
      <c r="D52" s="8">
        <v>12605994</v>
      </c>
      <c r="E52" t="s">
        <v>85</v>
      </c>
      <c r="F52" t="s">
        <v>67</v>
      </c>
      <c r="G52" t="s">
        <v>68</v>
      </c>
      <c r="H52">
        <v>2</v>
      </c>
      <c r="I52">
        <v>37.5</v>
      </c>
      <c r="J52" t="s">
        <v>69</v>
      </c>
      <c r="K52" t="s">
        <v>70</v>
      </c>
      <c r="L52" t="s">
        <v>71</v>
      </c>
      <c r="M52" t="s">
        <v>72</v>
      </c>
      <c r="N52">
        <v>0.01</v>
      </c>
      <c r="O52">
        <v>1.0000000000000009E-2</v>
      </c>
      <c r="P52">
        <v>2</v>
      </c>
      <c r="Q52">
        <v>0</v>
      </c>
    </row>
    <row r="53" spans="1:17" x14ac:dyDescent="0.2">
      <c r="A53" t="s">
        <v>192</v>
      </c>
      <c r="B53" t="s">
        <v>193</v>
      </c>
      <c r="C53" t="s">
        <v>194</v>
      </c>
      <c r="D53" s="8">
        <v>12436421</v>
      </c>
      <c r="E53" t="s">
        <v>6</v>
      </c>
      <c r="F53" t="s">
        <v>67</v>
      </c>
      <c r="G53" t="s">
        <v>68</v>
      </c>
      <c r="H53">
        <v>4</v>
      </c>
      <c r="I53">
        <v>42.99</v>
      </c>
      <c r="J53" t="s">
        <v>69</v>
      </c>
      <c r="K53" t="s">
        <v>70</v>
      </c>
      <c r="L53" t="s">
        <v>71</v>
      </c>
      <c r="M53" t="s">
        <v>72</v>
      </c>
      <c r="N53">
        <v>0.02</v>
      </c>
      <c r="O53">
        <v>2.0000000000000018E-2</v>
      </c>
      <c r="P53">
        <v>4</v>
      </c>
      <c r="Q53">
        <v>0</v>
      </c>
    </row>
    <row r="54" spans="1:17" x14ac:dyDescent="0.2">
      <c r="A54" t="s">
        <v>192</v>
      </c>
      <c r="B54" t="s">
        <v>193</v>
      </c>
      <c r="C54" t="s">
        <v>194</v>
      </c>
      <c r="D54" s="8">
        <v>12604377</v>
      </c>
      <c r="E54" t="s">
        <v>93</v>
      </c>
      <c r="F54" t="s">
        <v>67</v>
      </c>
      <c r="G54" t="s">
        <v>68</v>
      </c>
      <c r="H54">
        <v>5</v>
      </c>
      <c r="I54">
        <v>67.27</v>
      </c>
      <c r="J54" t="s">
        <v>69</v>
      </c>
      <c r="K54" t="s">
        <v>70</v>
      </c>
      <c r="L54" t="s">
        <v>71</v>
      </c>
      <c r="M54" t="s">
        <v>72</v>
      </c>
      <c r="N54">
        <v>0.03</v>
      </c>
      <c r="O54">
        <v>3.0000000000000027E-2</v>
      </c>
      <c r="P54">
        <v>5</v>
      </c>
      <c r="Q54">
        <v>0</v>
      </c>
    </row>
    <row r="55" spans="1:17" x14ac:dyDescent="0.2">
      <c r="A55" t="s">
        <v>192</v>
      </c>
      <c r="B55" t="s">
        <v>193</v>
      </c>
      <c r="C55" t="s">
        <v>194</v>
      </c>
      <c r="D55" s="8">
        <v>12560070</v>
      </c>
      <c r="E55" t="s">
        <v>15</v>
      </c>
      <c r="F55" t="s">
        <v>67</v>
      </c>
      <c r="G55" t="s">
        <v>68</v>
      </c>
      <c r="H55">
        <v>8</v>
      </c>
      <c r="I55">
        <v>38.28</v>
      </c>
      <c r="J55" t="s">
        <v>69</v>
      </c>
      <c r="K55" t="s">
        <v>70</v>
      </c>
      <c r="L55" t="s">
        <v>71</v>
      </c>
      <c r="M55" t="s">
        <v>72</v>
      </c>
      <c r="N55">
        <v>0.01</v>
      </c>
      <c r="O55">
        <v>1.0000000000000009E-2</v>
      </c>
      <c r="P55">
        <v>8</v>
      </c>
      <c r="Q55">
        <v>0</v>
      </c>
    </row>
    <row r="56" spans="1:17" x14ac:dyDescent="0.2">
      <c r="A56" t="s">
        <v>195</v>
      </c>
      <c r="B56" t="s">
        <v>187</v>
      </c>
      <c r="C56" t="s">
        <v>188</v>
      </c>
      <c r="D56" s="8">
        <v>11330</v>
      </c>
      <c r="E56" t="s">
        <v>107</v>
      </c>
      <c r="F56" t="s">
        <v>67</v>
      </c>
      <c r="G56" t="s">
        <v>68</v>
      </c>
      <c r="H56">
        <v>2</v>
      </c>
      <c r="I56">
        <v>225.01</v>
      </c>
      <c r="J56" t="s">
        <v>69</v>
      </c>
      <c r="K56" t="s">
        <v>70</v>
      </c>
      <c r="L56" t="s">
        <v>71</v>
      </c>
      <c r="M56" t="s">
        <v>72</v>
      </c>
      <c r="N56">
        <v>2</v>
      </c>
      <c r="O56">
        <v>0</v>
      </c>
      <c r="P56">
        <v>0</v>
      </c>
      <c r="Q56">
        <v>2</v>
      </c>
    </row>
    <row r="57" spans="1:17" x14ac:dyDescent="0.2">
      <c r="A57" t="s">
        <v>195</v>
      </c>
      <c r="B57" t="s">
        <v>187</v>
      </c>
      <c r="C57" t="s">
        <v>188</v>
      </c>
      <c r="D57" s="8">
        <v>12613402</v>
      </c>
      <c r="E57" t="s">
        <v>73</v>
      </c>
      <c r="F57" t="s">
        <v>67</v>
      </c>
      <c r="G57" t="s">
        <v>68</v>
      </c>
      <c r="H57">
        <v>144</v>
      </c>
      <c r="I57">
        <v>439.89</v>
      </c>
      <c r="J57" t="s">
        <v>69</v>
      </c>
      <c r="K57" t="s">
        <v>70</v>
      </c>
      <c r="L57" t="s">
        <v>71</v>
      </c>
      <c r="M57" t="s">
        <v>72</v>
      </c>
      <c r="N57">
        <v>0.14000000000000001</v>
      </c>
      <c r="O57">
        <v>0.14000000000000012</v>
      </c>
      <c r="P57">
        <v>144</v>
      </c>
      <c r="Q57">
        <v>0</v>
      </c>
    </row>
    <row r="58" spans="1:17" x14ac:dyDescent="0.2">
      <c r="A58" t="s">
        <v>195</v>
      </c>
      <c r="B58" t="s">
        <v>187</v>
      </c>
      <c r="C58" t="s">
        <v>188</v>
      </c>
      <c r="D58" s="8">
        <v>12436421</v>
      </c>
      <c r="E58" t="s">
        <v>6</v>
      </c>
      <c r="F58" t="s">
        <v>67</v>
      </c>
      <c r="G58" t="s">
        <v>68</v>
      </c>
      <c r="H58">
        <v>32</v>
      </c>
      <c r="I58">
        <v>343.88</v>
      </c>
      <c r="J58" t="s">
        <v>69</v>
      </c>
      <c r="K58" t="s">
        <v>70</v>
      </c>
      <c r="L58" t="s">
        <v>71</v>
      </c>
      <c r="M58" t="s">
        <v>72</v>
      </c>
      <c r="N58">
        <v>0.17</v>
      </c>
      <c r="O58">
        <v>0.16999999999999993</v>
      </c>
      <c r="P58">
        <v>32</v>
      </c>
      <c r="Q58">
        <v>0</v>
      </c>
    </row>
    <row r="59" spans="1:17" x14ac:dyDescent="0.2">
      <c r="A59" t="s">
        <v>195</v>
      </c>
      <c r="B59" t="s">
        <v>187</v>
      </c>
      <c r="C59" t="s">
        <v>188</v>
      </c>
      <c r="D59" s="8">
        <v>12604368</v>
      </c>
      <c r="E59" t="s">
        <v>74</v>
      </c>
      <c r="F59" t="s">
        <v>67</v>
      </c>
      <c r="G59" t="s">
        <v>68</v>
      </c>
      <c r="H59">
        <v>50</v>
      </c>
      <c r="I59">
        <v>672.68</v>
      </c>
      <c r="J59" t="s">
        <v>69</v>
      </c>
      <c r="K59" t="s">
        <v>70</v>
      </c>
      <c r="L59" t="s">
        <v>71</v>
      </c>
      <c r="M59" t="s">
        <v>72</v>
      </c>
      <c r="N59">
        <v>0.25</v>
      </c>
      <c r="O59">
        <v>0.25</v>
      </c>
      <c r="P59">
        <v>50</v>
      </c>
      <c r="Q59">
        <v>0</v>
      </c>
    </row>
    <row r="60" spans="1:17" x14ac:dyDescent="0.2">
      <c r="A60" t="s">
        <v>195</v>
      </c>
      <c r="B60" t="s">
        <v>187</v>
      </c>
      <c r="C60" t="s">
        <v>188</v>
      </c>
      <c r="D60" s="8">
        <v>12629431</v>
      </c>
      <c r="E60" t="s">
        <v>83</v>
      </c>
      <c r="F60" t="s">
        <v>67</v>
      </c>
      <c r="G60" t="s">
        <v>68</v>
      </c>
      <c r="H60">
        <v>3</v>
      </c>
      <c r="I60">
        <v>373.22</v>
      </c>
      <c r="J60" t="s">
        <v>69</v>
      </c>
      <c r="K60" t="s">
        <v>70</v>
      </c>
      <c r="L60" t="s">
        <v>71</v>
      </c>
      <c r="M60" t="s">
        <v>72</v>
      </c>
      <c r="N60">
        <v>0.1</v>
      </c>
      <c r="O60">
        <v>0.10000000000000009</v>
      </c>
      <c r="P60">
        <v>3</v>
      </c>
      <c r="Q60">
        <v>0</v>
      </c>
    </row>
    <row r="61" spans="1:17" x14ac:dyDescent="0.2">
      <c r="A61" t="s">
        <v>195</v>
      </c>
      <c r="B61" t="s">
        <v>187</v>
      </c>
      <c r="C61" t="s">
        <v>188</v>
      </c>
      <c r="D61" s="8">
        <v>12618899</v>
      </c>
      <c r="E61" t="s">
        <v>76</v>
      </c>
      <c r="F61" t="s">
        <v>67</v>
      </c>
      <c r="G61" t="s">
        <v>68</v>
      </c>
      <c r="H61">
        <v>12</v>
      </c>
      <c r="I61">
        <v>264.08</v>
      </c>
      <c r="J61" t="s">
        <v>69</v>
      </c>
      <c r="K61" t="s">
        <v>70</v>
      </c>
      <c r="L61" t="s">
        <v>71</v>
      </c>
      <c r="M61" t="s">
        <v>72</v>
      </c>
      <c r="N61">
        <v>0.33</v>
      </c>
      <c r="O61">
        <v>0.33000000000000007</v>
      </c>
      <c r="P61">
        <v>12</v>
      </c>
      <c r="Q61">
        <v>0</v>
      </c>
    </row>
    <row r="62" spans="1:17" x14ac:dyDescent="0.2">
      <c r="A62" t="s">
        <v>195</v>
      </c>
      <c r="B62" t="s">
        <v>187</v>
      </c>
      <c r="C62" t="s">
        <v>188</v>
      </c>
      <c r="D62" s="8">
        <v>12575127</v>
      </c>
      <c r="E62" t="s">
        <v>13</v>
      </c>
      <c r="F62" t="s">
        <v>67</v>
      </c>
      <c r="G62" t="s">
        <v>68</v>
      </c>
      <c r="H62">
        <v>48</v>
      </c>
      <c r="I62">
        <v>415.88</v>
      </c>
      <c r="J62" t="s">
        <v>69</v>
      </c>
      <c r="K62" t="s">
        <v>70</v>
      </c>
      <c r="L62" t="s">
        <v>71</v>
      </c>
      <c r="M62" t="s">
        <v>72</v>
      </c>
      <c r="N62">
        <v>0.1</v>
      </c>
      <c r="O62">
        <v>0.10000000000000009</v>
      </c>
      <c r="P62">
        <v>48</v>
      </c>
      <c r="Q62">
        <v>0</v>
      </c>
    </row>
    <row r="63" spans="1:17" x14ac:dyDescent="0.2">
      <c r="A63" t="s">
        <v>196</v>
      </c>
      <c r="B63" t="s">
        <v>197</v>
      </c>
      <c r="C63" t="s">
        <v>198</v>
      </c>
      <c r="D63" s="8">
        <v>43564</v>
      </c>
      <c r="E63" t="s">
        <v>97</v>
      </c>
      <c r="F63" t="s">
        <v>67</v>
      </c>
      <c r="G63" t="s">
        <v>68</v>
      </c>
      <c r="H63">
        <v>1</v>
      </c>
      <c r="I63">
        <v>67.27</v>
      </c>
      <c r="J63" t="s">
        <v>69</v>
      </c>
      <c r="K63" t="s">
        <v>70</v>
      </c>
      <c r="L63" t="s">
        <v>71</v>
      </c>
      <c r="M63" t="s">
        <v>72</v>
      </c>
      <c r="N63">
        <v>1</v>
      </c>
      <c r="O63">
        <v>0</v>
      </c>
      <c r="P63">
        <v>0</v>
      </c>
      <c r="Q63">
        <v>1</v>
      </c>
    </row>
    <row r="64" spans="1:17" x14ac:dyDescent="0.2">
      <c r="A64" t="s">
        <v>196</v>
      </c>
      <c r="B64" t="s">
        <v>197</v>
      </c>
      <c r="C64" t="s">
        <v>198</v>
      </c>
      <c r="D64" s="8">
        <v>12613402</v>
      </c>
      <c r="E64" t="s">
        <v>73</v>
      </c>
      <c r="F64" t="s">
        <v>67</v>
      </c>
      <c r="G64" t="s">
        <v>68</v>
      </c>
      <c r="H64">
        <v>6</v>
      </c>
      <c r="I64">
        <v>18.32</v>
      </c>
      <c r="J64" t="s">
        <v>69</v>
      </c>
      <c r="K64" t="s">
        <v>70</v>
      </c>
      <c r="L64" t="s">
        <v>71</v>
      </c>
      <c r="M64" t="s">
        <v>72</v>
      </c>
      <c r="N64">
        <v>0.01</v>
      </c>
      <c r="O64">
        <v>1.0000000000000009E-2</v>
      </c>
      <c r="P64">
        <v>6</v>
      </c>
      <c r="Q64">
        <v>0</v>
      </c>
    </row>
    <row r="65" spans="1:17" x14ac:dyDescent="0.2">
      <c r="A65" t="s">
        <v>196</v>
      </c>
      <c r="B65" t="s">
        <v>197</v>
      </c>
      <c r="C65" t="s">
        <v>198</v>
      </c>
      <c r="D65" s="8">
        <v>12436421</v>
      </c>
      <c r="E65" t="s">
        <v>6</v>
      </c>
      <c r="F65" t="s">
        <v>67</v>
      </c>
      <c r="G65" t="s">
        <v>68</v>
      </c>
      <c r="H65">
        <v>4</v>
      </c>
      <c r="I65">
        <v>42.99</v>
      </c>
      <c r="J65" t="s">
        <v>69</v>
      </c>
      <c r="K65" t="s">
        <v>70</v>
      </c>
      <c r="L65" t="s">
        <v>71</v>
      </c>
      <c r="M65" t="s">
        <v>72</v>
      </c>
      <c r="N65">
        <v>0.02</v>
      </c>
      <c r="O65">
        <v>2.0000000000000018E-2</v>
      </c>
      <c r="P65">
        <v>4</v>
      </c>
      <c r="Q65">
        <v>0</v>
      </c>
    </row>
    <row r="66" spans="1:17" x14ac:dyDescent="0.2">
      <c r="A66" t="s">
        <v>196</v>
      </c>
      <c r="B66" t="s">
        <v>197</v>
      </c>
      <c r="C66" t="s">
        <v>198</v>
      </c>
      <c r="D66" s="8">
        <v>12575127</v>
      </c>
      <c r="E66" t="s">
        <v>13</v>
      </c>
      <c r="F66" t="s">
        <v>67</v>
      </c>
      <c r="G66" t="s">
        <v>68</v>
      </c>
      <c r="H66">
        <v>12</v>
      </c>
      <c r="I66">
        <v>103.97</v>
      </c>
      <c r="J66" t="s">
        <v>69</v>
      </c>
      <c r="K66" t="s">
        <v>70</v>
      </c>
      <c r="L66" t="s">
        <v>71</v>
      </c>
      <c r="M66" t="s">
        <v>72</v>
      </c>
      <c r="N66">
        <v>0.02</v>
      </c>
      <c r="O66">
        <v>2.0000000000000018E-2</v>
      </c>
      <c r="P66">
        <v>12</v>
      </c>
      <c r="Q66">
        <v>0</v>
      </c>
    </row>
    <row r="67" spans="1:17" x14ac:dyDescent="0.2">
      <c r="A67" t="s">
        <v>196</v>
      </c>
      <c r="B67" t="s">
        <v>197</v>
      </c>
      <c r="C67" t="s">
        <v>198</v>
      </c>
      <c r="D67" s="8">
        <v>12560070</v>
      </c>
      <c r="E67" t="s">
        <v>15</v>
      </c>
      <c r="F67" t="s">
        <v>67</v>
      </c>
      <c r="G67" t="s">
        <v>68</v>
      </c>
      <c r="H67">
        <v>8</v>
      </c>
      <c r="I67">
        <v>38.28</v>
      </c>
      <c r="J67" t="s">
        <v>69</v>
      </c>
      <c r="K67" t="s">
        <v>70</v>
      </c>
      <c r="L67" t="s">
        <v>71</v>
      </c>
      <c r="M67" t="s">
        <v>72</v>
      </c>
      <c r="N67">
        <v>0.01</v>
      </c>
      <c r="O67">
        <v>1.0000000000000009E-2</v>
      </c>
      <c r="P67">
        <v>8</v>
      </c>
      <c r="Q67">
        <v>0</v>
      </c>
    </row>
    <row r="68" spans="1:17" x14ac:dyDescent="0.2">
      <c r="A68" t="s">
        <v>199</v>
      </c>
      <c r="B68" t="s">
        <v>200</v>
      </c>
      <c r="C68" t="s">
        <v>201</v>
      </c>
      <c r="D68" s="8">
        <v>43564</v>
      </c>
      <c r="E68" t="s">
        <v>97</v>
      </c>
      <c r="F68" t="s">
        <v>67</v>
      </c>
      <c r="G68" t="s">
        <v>68</v>
      </c>
      <c r="H68">
        <v>1</v>
      </c>
      <c r="I68">
        <v>67.27</v>
      </c>
      <c r="J68" t="s">
        <v>69</v>
      </c>
      <c r="K68" t="s">
        <v>70</v>
      </c>
      <c r="L68" t="s">
        <v>71</v>
      </c>
      <c r="M68" t="s">
        <v>72</v>
      </c>
      <c r="N68">
        <v>1</v>
      </c>
      <c r="O68">
        <v>0</v>
      </c>
      <c r="P68">
        <v>0</v>
      </c>
      <c r="Q68">
        <v>1</v>
      </c>
    </row>
    <row r="69" spans="1:17" x14ac:dyDescent="0.2">
      <c r="A69" t="s">
        <v>199</v>
      </c>
      <c r="B69" t="s">
        <v>200</v>
      </c>
      <c r="C69" t="s">
        <v>201</v>
      </c>
      <c r="D69" s="8">
        <v>12613402</v>
      </c>
      <c r="E69" t="s">
        <v>73</v>
      </c>
      <c r="F69" t="s">
        <v>67</v>
      </c>
      <c r="G69" t="s">
        <v>68</v>
      </c>
      <c r="H69">
        <v>6</v>
      </c>
      <c r="I69">
        <v>18.32</v>
      </c>
      <c r="J69" t="s">
        <v>69</v>
      </c>
      <c r="K69" t="s">
        <v>70</v>
      </c>
      <c r="L69" t="s">
        <v>71</v>
      </c>
      <c r="M69" t="s">
        <v>72</v>
      </c>
      <c r="N69">
        <v>0.01</v>
      </c>
      <c r="O69">
        <v>1.0000000000000009E-2</v>
      </c>
      <c r="P69">
        <v>6</v>
      </c>
      <c r="Q69">
        <v>0</v>
      </c>
    </row>
    <row r="70" spans="1:17" x14ac:dyDescent="0.2">
      <c r="A70" t="s">
        <v>199</v>
      </c>
      <c r="B70" t="s">
        <v>200</v>
      </c>
      <c r="C70" t="s">
        <v>201</v>
      </c>
      <c r="D70" s="8">
        <v>12436421</v>
      </c>
      <c r="E70" t="s">
        <v>6</v>
      </c>
      <c r="F70" t="s">
        <v>67</v>
      </c>
      <c r="G70" t="s">
        <v>68</v>
      </c>
      <c r="H70">
        <v>4</v>
      </c>
      <c r="I70">
        <v>42.99</v>
      </c>
      <c r="J70" t="s">
        <v>69</v>
      </c>
      <c r="K70" t="s">
        <v>70</v>
      </c>
      <c r="L70" t="s">
        <v>71</v>
      </c>
      <c r="M70" t="s">
        <v>72</v>
      </c>
      <c r="N70">
        <v>0.02</v>
      </c>
      <c r="O70">
        <v>2.0000000000000018E-2</v>
      </c>
      <c r="P70">
        <v>4</v>
      </c>
      <c r="Q70">
        <v>0</v>
      </c>
    </row>
    <row r="71" spans="1:17" x14ac:dyDescent="0.2">
      <c r="A71" t="s">
        <v>199</v>
      </c>
      <c r="B71" t="s">
        <v>200</v>
      </c>
      <c r="C71" t="s">
        <v>201</v>
      </c>
      <c r="D71" s="8">
        <v>12575127</v>
      </c>
      <c r="E71" t="s">
        <v>13</v>
      </c>
      <c r="F71" t="s">
        <v>67</v>
      </c>
      <c r="G71" t="s">
        <v>68</v>
      </c>
      <c r="H71">
        <v>12</v>
      </c>
      <c r="I71">
        <v>103.97</v>
      </c>
      <c r="J71" t="s">
        <v>69</v>
      </c>
      <c r="K71" t="s">
        <v>70</v>
      </c>
      <c r="L71" t="s">
        <v>71</v>
      </c>
      <c r="M71" t="s">
        <v>72</v>
      </c>
      <c r="N71">
        <v>0.02</v>
      </c>
      <c r="O71">
        <v>2.0000000000000018E-2</v>
      </c>
      <c r="P71">
        <v>12</v>
      </c>
      <c r="Q71">
        <v>0</v>
      </c>
    </row>
    <row r="72" spans="1:17" x14ac:dyDescent="0.2">
      <c r="A72" t="s">
        <v>199</v>
      </c>
      <c r="B72" t="s">
        <v>200</v>
      </c>
      <c r="C72" t="s">
        <v>201</v>
      </c>
      <c r="D72" s="8">
        <v>12560070</v>
      </c>
      <c r="E72" t="s">
        <v>15</v>
      </c>
      <c r="F72" t="s">
        <v>67</v>
      </c>
      <c r="G72" t="s">
        <v>68</v>
      </c>
      <c r="H72">
        <v>8</v>
      </c>
      <c r="I72">
        <v>38.28</v>
      </c>
      <c r="J72" t="s">
        <v>69</v>
      </c>
      <c r="K72" t="s">
        <v>70</v>
      </c>
      <c r="L72" t="s">
        <v>71</v>
      </c>
      <c r="M72" t="s">
        <v>72</v>
      </c>
      <c r="N72">
        <v>0.01</v>
      </c>
      <c r="O72">
        <v>1.0000000000000009E-2</v>
      </c>
      <c r="P72">
        <v>8</v>
      </c>
      <c r="Q72">
        <v>0</v>
      </c>
    </row>
    <row r="73" spans="1:17" x14ac:dyDescent="0.2">
      <c r="A73" t="s">
        <v>202</v>
      </c>
      <c r="B73" t="s">
        <v>203</v>
      </c>
      <c r="C73" t="s">
        <v>204</v>
      </c>
      <c r="D73" s="8">
        <v>43564</v>
      </c>
      <c r="E73" t="s">
        <v>97</v>
      </c>
      <c r="F73" t="s">
        <v>67</v>
      </c>
      <c r="G73" t="s">
        <v>68</v>
      </c>
      <c r="H73">
        <v>1</v>
      </c>
      <c r="I73">
        <v>67.27</v>
      </c>
      <c r="J73" t="s">
        <v>69</v>
      </c>
      <c r="K73" t="s">
        <v>70</v>
      </c>
      <c r="L73" t="s">
        <v>71</v>
      </c>
      <c r="M73" t="s">
        <v>72</v>
      </c>
      <c r="N73">
        <v>1</v>
      </c>
      <c r="O73">
        <v>0</v>
      </c>
      <c r="P73">
        <v>0</v>
      </c>
      <c r="Q73">
        <v>1</v>
      </c>
    </row>
    <row r="74" spans="1:17" x14ac:dyDescent="0.2">
      <c r="A74" t="s">
        <v>202</v>
      </c>
      <c r="B74" t="s">
        <v>203</v>
      </c>
      <c r="C74" t="s">
        <v>204</v>
      </c>
      <c r="D74" s="8">
        <v>12613402</v>
      </c>
      <c r="E74" t="s">
        <v>73</v>
      </c>
      <c r="F74" t="s">
        <v>67</v>
      </c>
      <c r="G74" t="s">
        <v>68</v>
      </c>
      <c r="H74">
        <v>6</v>
      </c>
      <c r="I74">
        <v>18.32</v>
      </c>
      <c r="J74" t="s">
        <v>69</v>
      </c>
      <c r="K74" t="s">
        <v>70</v>
      </c>
      <c r="L74" t="s">
        <v>71</v>
      </c>
      <c r="M74" t="s">
        <v>72</v>
      </c>
      <c r="N74">
        <v>0.01</v>
      </c>
      <c r="O74">
        <v>1.0000000000000009E-2</v>
      </c>
      <c r="P74">
        <v>6</v>
      </c>
      <c r="Q74">
        <v>0</v>
      </c>
    </row>
    <row r="75" spans="1:17" x14ac:dyDescent="0.2">
      <c r="A75" t="s">
        <v>202</v>
      </c>
      <c r="B75" t="s">
        <v>203</v>
      </c>
      <c r="C75" t="s">
        <v>204</v>
      </c>
      <c r="D75" s="8">
        <v>12605969</v>
      </c>
      <c r="E75" t="s">
        <v>66</v>
      </c>
      <c r="F75" t="s">
        <v>67</v>
      </c>
      <c r="G75" t="s">
        <v>68</v>
      </c>
      <c r="H75">
        <v>2</v>
      </c>
      <c r="I75">
        <v>37.5</v>
      </c>
      <c r="J75" t="s">
        <v>69</v>
      </c>
      <c r="K75" t="s">
        <v>70</v>
      </c>
      <c r="L75" t="s">
        <v>71</v>
      </c>
      <c r="M75" t="s">
        <v>72</v>
      </c>
      <c r="N75">
        <v>0.01</v>
      </c>
      <c r="O75">
        <v>1.0000000000000009E-2</v>
      </c>
      <c r="P75">
        <v>2</v>
      </c>
      <c r="Q75">
        <v>0</v>
      </c>
    </row>
    <row r="76" spans="1:17" x14ac:dyDescent="0.2">
      <c r="A76" t="s">
        <v>202</v>
      </c>
      <c r="B76" t="s">
        <v>203</v>
      </c>
      <c r="C76" t="s">
        <v>204</v>
      </c>
      <c r="D76" s="8">
        <v>12436421</v>
      </c>
      <c r="E76" t="s">
        <v>6</v>
      </c>
      <c r="F76" t="s">
        <v>67</v>
      </c>
      <c r="G76" t="s">
        <v>68</v>
      </c>
      <c r="H76">
        <v>4</v>
      </c>
      <c r="I76">
        <v>42.99</v>
      </c>
      <c r="J76" t="s">
        <v>69</v>
      </c>
      <c r="K76" t="s">
        <v>70</v>
      </c>
      <c r="L76" t="s">
        <v>71</v>
      </c>
      <c r="M76" t="s">
        <v>72</v>
      </c>
      <c r="N76">
        <v>0.02</v>
      </c>
      <c r="O76">
        <v>2.0000000000000018E-2</v>
      </c>
      <c r="P76">
        <v>4</v>
      </c>
      <c r="Q76">
        <v>0</v>
      </c>
    </row>
    <row r="77" spans="1:17" x14ac:dyDescent="0.2">
      <c r="A77" t="s">
        <v>202</v>
      </c>
      <c r="B77" t="s">
        <v>203</v>
      </c>
      <c r="C77" t="s">
        <v>204</v>
      </c>
      <c r="D77" s="8">
        <v>12604377</v>
      </c>
      <c r="E77" t="s">
        <v>93</v>
      </c>
      <c r="F77" t="s">
        <v>67</v>
      </c>
      <c r="G77" t="s">
        <v>68</v>
      </c>
      <c r="H77">
        <v>5</v>
      </c>
      <c r="I77">
        <v>67.27</v>
      </c>
      <c r="J77" t="s">
        <v>69</v>
      </c>
      <c r="K77" t="s">
        <v>70</v>
      </c>
      <c r="L77" t="s">
        <v>71</v>
      </c>
      <c r="M77" t="s">
        <v>72</v>
      </c>
      <c r="N77">
        <v>0.03</v>
      </c>
      <c r="O77">
        <v>3.0000000000000027E-2</v>
      </c>
      <c r="P77">
        <v>5</v>
      </c>
      <c r="Q77">
        <v>0</v>
      </c>
    </row>
    <row r="78" spans="1:17" x14ac:dyDescent="0.2">
      <c r="A78" t="s">
        <v>202</v>
      </c>
      <c r="B78" t="s">
        <v>203</v>
      </c>
      <c r="C78" t="s">
        <v>204</v>
      </c>
      <c r="D78" s="8">
        <v>12575127</v>
      </c>
      <c r="E78" t="s">
        <v>13</v>
      </c>
      <c r="F78" t="s">
        <v>67</v>
      </c>
      <c r="G78" t="s">
        <v>68</v>
      </c>
      <c r="H78">
        <v>12</v>
      </c>
      <c r="I78">
        <v>103.97</v>
      </c>
      <c r="J78" t="s">
        <v>69</v>
      </c>
      <c r="K78" t="s">
        <v>70</v>
      </c>
      <c r="L78" t="s">
        <v>71</v>
      </c>
      <c r="M78" t="s">
        <v>72</v>
      </c>
      <c r="N78">
        <v>0.02</v>
      </c>
      <c r="O78">
        <v>2.0000000000000018E-2</v>
      </c>
      <c r="P78">
        <v>12</v>
      </c>
      <c r="Q78">
        <v>0</v>
      </c>
    </row>
    <row r="79" spans="1:17" x14ac:dyDescent="0.2">
      <c r="A79" t="s">
        <v>202</v>
      </c>
      <c r="B79" t="s">
        <v>203</v>
      </c>
      <c r="C79" t="s">
        <v>204</v>
      </c>
      <c r="D79" s="8">
        <v>12560070</v>
      </c>
      <c r="E79" t="s">
        <v>15</v>
      </c>
      <c r="F79" t="s">
        <v>67</v>
      </c>
      <c r="G79" t="s">
        <v>68</v>
      </c>
      <c r="H79">
        <v>8</v>
      </c>
      <c r="I79">
        <v>38.28</v>
      </c>
      <c r="J79" t="s">
        <v>69</v>
      </c>
      <c r="K79" t="s">
        <v>70</v>
      </c>
      <c r="L79" t="s">
        <v>71</v>
      </c>
      <c r="M79" t="s">
        <v>72</v>
      </c>
      <c r="N79">
        <v>0.01</v>
      </c>
      <c r="O79">
        <v>1.0000000000000009E-2</v>
      </c>
      <c r="P79">
        <v>8</v>
      </c>
      <c r="Q79">
        <v>0</v>
      </c>
    </row>
    <row r="80" spans="1:17" x14ac:dyDescent="0.2">
      <c r="A80" t="s">
        <v>205</v>
      </c>
      <c r="B80" t="s">
        <v>206</v>
      </c>
      <c r="C80" t="s">
        <v>207</v>
      </c>
      <c r="D80" s="8">
        <v>43564</v>
      </c>
      <c r="E80" t="s">
        <v>97</v>
      </c>
      <c r="F80" t="s">
        <v>67</v>
      </c>
      <c r="G80" t="s">
        <v>68</v>
      </c>
      <c r="H80">
        <v>1</v>
      </c>
      <c r="I80">
        <v>67.27</v>
      </c>
      <c r="J80" t="s">
        <v>69</v>
      </c>
      <c r="K80" t="s">
        <v>70</v>
      </c>
      <c r="L80" t="s">
        <v>71</v>
      </c>
      <c r="M80" t="s">
        <v>72</v>
      </c>
      <c r="N80">
        <v>1</v>
      </c>
      <c r="O80">
        <v>0</v>
      </c>
      <c r="P80">
        <v>0</v>
      </c>
      <c r="Q80">
        <v>1</v>
      </c>
    </row>
    <row r="81" spans="1:17" x14ac:dyDescent="0.2">
      <c r="A81" t="s">
        <v>205</v>
      </c>
      <c r="B81" t="s">
        <v>206</v>
      </c>
      <c r="C81" t="s">
        <v>207</v>
      </c>
      <c r="D81" s="8">
        <v>12613402</v>
      </c>
      <c r="E81" t="s">
        <v>73</v>
      </c>
      <c r="F81" t="s">
        <v>67</v>
      </c>
      <c r="G81" t="s">
        <v>68</v>
      </c>
      <c r="H81">
        <v>6</v>
      </c>
      <c r="I81">
        <v>18.32</v>
      </c>
      <c r="J81" t="s">
        <v>69</v>
      </c>
      <c r="K81" t="s">
        <v>70</v>
      </c>
      <c r="L81" t="s">
        <v>71</v>
      </c>
      <c r="M81" t="s">
        <v>72</v>
      </c>
      <c r="N81">
        <v>0.01</v>
      </c>
      <c r="O81">
        <v>1.0000000000000009E-2</v>
      </c>
      <c r="P81">
        <v>6</v>
      </c>
      <c r="Q81">
        <v>0</v>
      </c>
    </row>
    <row r="82" spans="1:17" x14ac:dyDescent="0.2">
      <c r="A82" t="s">
        <v>205</v>
      </c>
      <c r="B82" t="s">
        <v>206</v>
      </c>
      <c r="C82" t="s">
        <v>207</v>
      </c>
      <c r="D82" s="8">
        <v>12605969</v>
      </c>
      <c r="E82" t="s">
        <v>66</v>
      </c>
      <c r="F82" t="s">
        <v>67</v>
      </c>
      <c r="G82" t="s">
        <v>68</v>
      </c>
      <c r="H82">
        <v>2</v>
      </c>
      <c r="I82">
        <v>37.5</v>
      </c>
      <c r="J82" t="s">
        <v>69</v>
      </c>
      <c r="K82" t="s">
        <v>70</v>
      </c>
      <c r="L82" t="s">
        <v>71</v>
      </c>
      <c r="M82" t="s">
        <v>72</v>
      </c>
      <c r="N82">
        <v>0.01</v>
      </c>
      <c r="O82">
        <v>1.0000000000000009E-2</v>
      </c>
      <c r="P82">
        <v>2</v>
      </c>
      <c r="Q82">
        <v>0</v>
      </c>
    </row>
    <row r="83" spans="1:17" x14ac:dyDescent="0.2">
      <c r="A83" t="s">
        <v>205</v>
      </c>
      <c r="B83" t="s">
        <v>206</v>
      </c>
      <c r="C83" t="s">
        <v>207</v>
      </c>
      <c r="D83" s="8">
        <v>12436421</v>
      </c>
      <c r="E83" t="s">
        <v>6</v>
      </c>
      <c r="F83" t="s">
        <v>67</v>
      </c>
      <c r="G83" t="s">
        <v>68</v>
      </c>
      <c r="H83">
        <v>4</v>
      </c>
      <c r="I83">
        <v>42.99</v>
      </c>
      <c r="J83" t="s">
        <v>69</v>
      </c>
      <c r="K83" t="s">
        <v>70</v>
      </c>
      <c r="L83" t="s">
        <v>71</v>
      </c>
      <c r="M83" t="s">
        <v>72</v>
      </c>
      <c r="N83">
        <v>0.02</v>
      </c>
      <c r="O83">
        <v>2.0000000000000018E-2</v>
      </c>
      <c r="P83">
        <v>4</v>
      </c>
      <c r="Q83">
        <v>0</v>
      </c>
    </row>
    <row r="84" spans="1:17" x14ac:dyDescent="0.2">
      <c r="A84" t="s">
        <v>205</v>
      </c>
      <c r="B84" t="s">
        <v>206</v>
      </c>
      <c r="C84" t="s">
        <v>207</v>
      </c>
      <c r="D84" s="8">
        <v>12604377</v>
      </c>
      <c r="E84" t="s">
        <v>93</v>
      </c>
      <c r="F84" t="s">
        <v>67</v>
      </c>
      <c r="G84" t="s">
        <v>68</v>
      </c>
      <c r="H84">
        <v>5</v>
      </c>
      <c r="I84">
        <v>67.27</v>
      </c>
      <c r="J84" t="s">
        <v>69</v>
      </c>
      <c r="K84" t="s">
        <v>70</v>
      </c>
      <c r="L84" t="s">
        <v>71</v>
      </c>
      <c r="M84" t="s">
        <v>72</v>
      </c>
      <c r="N84">
        <v>0.03</v>
      </c>
      <c r="O84">
        <v>3.0000000000000027E-2</v>
      </c>
      <c r="P84">
        <v>5</v>
      </c>
      <c r="Q84">
        <v>0</v>
      </c>
    </row>
    <row r="85" spans="1:17" x14ac:dyDescent="0.2">
      <c r="A85" t="s">
        <v>205</v>
      </c>
      <c r="B85" t="s">
        <v>206</v>
      </c>
      <c r="C85" t="s">
        <v>207</v>
      </c>
      <c r="D85" s="8">
        <v>12575127</v>
      </c>
      <c r="E85" t="s">
        <v>13</v>
      </c>
      <c r="F85" t="s">
        <v>67</v>
      </c>
      <c r="G85" t="s">
        <v>68</v>
      </c>
      <c r="H85">
        <v>12</v>
      </c>
      <c r="I85">
        <v>103.97</v>
      </c>
      <c r="J85" t="s">
        <v>69</v>
      </c>
      <c r="K85" t="s">
        <v>70</v>
      </c>
      <c r="L85" t="s">
        <v>71</v>
      </c>
      <c r="M85" t="s">
        <v>72</v>
      </c>
      <c r="N85">
        <v>0.02</v>
      </c>
      <c r="O85">
        <v>2.0000000000000018E-2</v>
      </c>
      <c r="P85">
        <v>12</v>
      </c>
      <c r="Q85">
        <v>0</v>
      </c>
    </row>
    <row r="86" spans="1:17" x14ac:dyDescent="0.2">
      <c r="A86" t="s">
        <v>205</v>
      </c>
      <c r="B86" t="s">
        <v>206</v>
      </c>
      <c r="C86" t="s">
        <v>207</v>
      </c>
      <c r="D86" s="8">
        <v>12560070</v>
      </c>
      <c r="E86" t="s">
        <v>15</v>
      </c>
      <c r="F86" t="s">
        <v>67</v>
      </c>
      <c r="G86" t="s">
        <v>68</v>
      </c>
      <c r="H86">
        <v>8</v>
      </c>
      <c r="I86">
        <v>38.28</v>
      </c>
      <c r="J86" t="s">
        <v>69</v>
      </c>
      <c r="K86" t="s">
        <v>70</v>
      </c>
      <c r="L86" t="s">
        <v>71</v>
      </c>
      <c r="M86" t="s">
        <v>72</v>
      </c>
      <c r="N86">
        <v>0.01</v>
      </c>
      <c r="O86">
        <v>1.0000000000000009E-2</v>
      </c>
      <c r="P86">
        <v>8</v>
      </c>
      <c r="Q86">
        <v>0</v>
      </c>
    </row>
    <row r="87" spans="1:17" x14ac:dyDescent="0.2">
      <c r="A87" t="s">
        <v>208</v>
      </c>
      <c r="B87" t="s">
        <v>209</v>
      </c>
      <c r="C87" t="s">
        <v>210</v>
      </c>
      <c r="D87" s="8">
        <v>12613402</v>
      </c>
      <c r="E87" t="s">
        <v>73</v>
      </c>
      <c r="F87" t="s">
        <v>67</v>
      </c>
      <c r="G87" t="s">
        <v>68</v>
      </c>
      <c r="H87">
        <v>192</v>
      </c>
      <c r="I87">
        <v>586.52</v>
      </c>
      <c r="J87" t="s">
        <v>69</v>
      </c>
      <c r="K87" t="s">
        <v>70</v>
      </c>
      <c r="L87" t="s">
        <v>71</v>
      </c>
      <c r="M87" t="s">
        <v>72</v>
      </c>
      <c r="N87">
        <v>0.19</v>
      </c>
      <c r="O87">
        <v>0.18999999999999995</v>
      </c>
      <c r="P87">
        <v>192</v>
      </c>
      <c r="Q87">
        <v>0</v>
      </c>
    </row>
    <row r="88" spans="1:17" x14ac:dyDescent="0.2">
      <c r="A88" t="s">
        <v>208</v>
      </c>
      <c r="B88" t="s">
        <v>209</v>
      </c>
      <c r="C88" t="s">
        <v>210</v>
      </c>
      <c r="D88" s="8">
        <v>12605994</v>
      </c>
      <c r="E88" t="s">
        <v>85</v>
      </c>
      <c r="F88" t="s">
        <v>67</v>
      </c>
      <c r="G88" t="s">
        <v>68</v>
      </c>
      <c r="H88">
        <v>2</v>
      </c>
      <c r="I88">
        <v>37.5</v>
      </c>
      <c r="J88" t="s">
        <v>69</v>
      </c>
      <c r="K88" t="s">
        <v>70</v>
      </c>
      <c r="L88" t="s">
        <v>71</v>
      </c>
      <c r="M88" t="s">
        <v>72</v>
      </c>
      <c r="N88">
        <v>0.01</v>
      </c>
      <c r="O88">
        <v>1.0000000000000009E-2</v>
      </c>
      <c r="P88">
        <v>2</v>
      </c>
      <c r="Q88">
        <v>0</v>
      </c>
    </row>
    <row r="89" spans="1:17" x14ac:dyDescent="0.2">
      <c r="A89" t="s">
        <v>208</v>
      </c>
      <c r="B89" t="s">
        <v>209</v>
      </c>
      <c r="C89" t="s">
        <v>210</v>
      </c>
      <c r="D89" s="8">
        <v>12436421</v>
      </c>
      <c r="E89" t="s">
        <v>6</v>
      </c>
      <c r="F89" t="s">
        <v>67</v>
      </c>
      <c r="G89" t="s">
        <v>68</v>
      </c>
      <c r="H89">
        <v>16</v>
      </c>
      <c r="I89">
        <v>171.94</v>
      </c>
      <c r="J89" t="s">
        <v>69</v>
      </c>
      <c r="K89" t="s">
        <v>70</v>
      </c>
      <c r="L89" t="s">
        <v>71</v>
      </c>
      <c r="M89" t="s">
        <v>72</v>
      </c>
      <c r="N89">
        <v>0.08</v>
      </c>
      <c r="O89">
        <v>8.0000000000000071E-2</v>
      </c>
      <c r="P89">
        <v>16</v>
      </c>
      <c r="Q89">
        <v>0</v>
      </c>
    </row>
    <row r="90" spans="1:17" x14ac:dyDescent="0.2">
      <c r="A90" t="s">
        <v>208</v>
      </c>
      <c r="B90" t="s">
        <v>209</v>
      </c>
      <c r="C90" t="s">
        <v>210</v>
      </c>
      <c r="D90" s="8">
        <v>12575127</v>
      </c>
      <c r="E90" t="s">
        <v>13</v>
      </c>
      <c r="F90" t="s">
        <v>67</v>
      </c>
      <c r="G90" t="s">
        <v>68</v>
      </c>
      <c r="H90">
        <v>96</v>
      </c>
      <c r="I90">
        <v>831.75</v>
      </c>
      <c r="J90" t="s">
        <v>69</v>
      </c>
      <c r="K90" t="s">
        <v>70</v>
      </c>
      <c r="L90" t="s">
        <v>71</v>
      </c>
      <c r="M90" t="s">
        <v>72</v>
      </c>
      <c r="N90">
        <v>0.19</v>
      </c>
      <c r="O90">
        <v>0.18999999999999995</v>
      </c>
      <c r="P90">
        <v>96</v>
      </c>
      <c r="Q90">
        <v>0</v>
      </c>
    </row>
    <row r="91" spans="1:17" x14ac:dyDescent="0.2">
      <c r="A91" t="s">
        <v>208</v>
      </c>
      <c r="B91" t="s">
        <v>209</v>
      </c>
      <c r="C91" t="s">
        <v>210</v>
      </c>
      <c r="D91" s="8">
        <v>12560070</v>
      </c>
      <c r="E91" t="s">
        <v>15</v>
      </c>
      <c r="F91" t="s">
        <v>67</v>
      </c>
      <c r="G91" t="s">
        <v>68</v>
      </c>
      <c r="H91">
        <v>8</v>
      </c>
      <c r="I91">
        <v>38.28</v>
      </c>
      <c r="J91" t="s">
        <v>69</v>
      </c>
      <c r="K91" t="s">
        <v>70</v>
      </c>
      <c r="L91" t="s">
        <v>71</v>
      </c>
      <c r="M91" t="s">
        <v>72</v>
      </c>
      <c r="N91">
        <v>0.01</v>
      </c>
      <c r="O91">
        <v>1.0000000000000009E-2</v>
      </c>
      <c r="P91">
        <v>8</v>
      </c>
      <c r="Q91">
        <v>0</v>
      </c>
    </row>
    <row r="92" spans="1:17" x14ac:dyDescent="0.2">
      <c r="A92" t="s">
        <v>211</v>
      </c>
      <c r="B92" t="s">
        <v>212</v>
      </c>
      <c r="C92" t="s">
        <v>213</v>
      </c>
      <c r="D92" s="8">
        <v>12613402</v>
      </c>
      <c r="E92" t="s">
        <v>73</v>
      </c>
      <c r="F92" t="s">
        <v>67</v>
      </c>
      <c r="G92" t="s">
        <v>68</v>
      </c>
      <c r="H92">
        <v>528</v>
      </c>
      <c r="I92">
        <v>1612.95</v>
      </c>
      <c r="J92" t="s">
        <v>69</v>
      </c>
      <c r="K92" t="s">
        <v>70</v>
      </c>
      <c r="L92" t="s">
        <v>71</v>
      </c>
      <c r="M92" t="s">
        <v>72</v>
      </c>
      <c r="N92">
        <v>0.52</v>
      </c>
      <c r="O92">
        <v>0.52</v>
      </c>
      <c r="P92">
        <v>528</v>
      </c>
      <c r="Q92">
        <v>0</v>
      </c>
    </row>
    <row r="93" spans="1:17" x14ac:dyDescent="0.2">
      <c r="A93" t="s">
        <v>211</v>
      </c>
      <c r="B93" t="s">
        <v>212</v>
      </c>
      <c r="C93" t="s">
        <v>213</v>
      </c>
      <c r="D93" s="8">
        <v>12605994</v>
      </c>
      <c r="E93" t="s">
        <v>85</v>
      </c>
      <c r="F93" t="s">
        <v>67</v>
      </c>
      <c r="G93" t="s">
        <v>68</v>
      </c>
      <c r="H93">
        <v>2</v>
      </c>
      <c r="I93">
        <v>37.5</v>
      </c>
      <c r="J93" t="s">
        <v>69</v>
      </c>
      <c r="K93" t="s">
        <v>70</v>
      </c>
      <c r="L93" t="s">
        <v>71</v>
      </c>
      <c r="M93" t="s">
        <v>72</v>
      </c>
      <c r="N93">
        <v>0.01</v>
      </c>
      <c r="O93">
        <v>1.0000000000000009E-2</v>
      </c>
      <c r="P93">
        <v>2</v>
      </c>
      <c r="Q93">
        <v>0</v>
      </c>
    </row>
    <row r="94" spans="1:17" x14ac:dyDescent="0.2">
      <c r="A94" t="s">
        <v>211</v>
      </c>
      <c r="B94" t="s">
        <v>212</v>
      </c>
      <c r="C94" t="s">
        <v>213</v>
      </c>
      <c r="D94" s="8">
        <v>12436421</v>
      </c>
      <c r="E94" t="s">
        <v>6</v>
      </c>
      <c r="F94" t="s">
        <v>67</v>
      </c>
      <c r="G94" t="s">
        <v>68</v>
      </c>
      <c r="H94">
        <v>80</v>
      </c>
      <c r="I94">
        <v>859.71</v>
      </c>
      <c r="J94" t="s">
        <v>69</v>
      </c>
      <c r="K94" t="s">
        <v>70</v>
      </c>
      <c r="L94" t="s">
        <v>71</v>
      </c>
      <c r="M94" t="s">
        <v>72</v>
      </c>
      <c r="N94">
        <v>0.42</v>
      </c>
      <c r="O94">
        <v>0.41999999999999993</v>
      </c>
      <c r="P94">
        <v>80</v>
      </c>
      <c r="Q94">
        <v>0</v>
      </c>
    </row>
    <row r="95" spans="1:17" x14ac:dyDescent="0.2">
      <c r="A95" t="s">
        <v>211</v>
      </c>
      <c r="B95" t="s">
        <v>212</v>
      </c>
      <c r="C95" t="s">
        <v>213</v>
      </c>
      <c r="D95" s="8">
        <v>12575127</v>
      </c>
      <c r="E95" t="s">
        <v>13</v>
      </c>
      <c r="F95" t="s">
        <v>67</v>
      </c>
      <c r="G95" t="s">
        <v>68</v>
      </c>
      <c r="H95">
        <v>504</v>
      </c>
      <c r="I95">
        <v>4366.67</v>
      </c>
      <c r="J95" t="s">
        <v>69</v>
      </c>
      <c r="K95" t="s">
        <v>70</v>
      </c>
      <c r="L95" t="s">
        <v>71</v>
      </c>
      <c r="M95" t="s">
        <v>72</v>
      </c>
      <c r="N95">
        <v>1</v>
      </c>
      <c r="O95">
        <v>0</v>
      </c>
      <c r="P95">
        <v>0</v>
      </c>
      <c r="Q95">
        <v>1</v>
      </c>
    </row>
    <row r="96" spans="1:17" x14ac:dyDescent="0.2">
      <c r="A96" t="s">
        <v>211</v>
      </c>
      <c r="B96" t="s">
        <v>212</v>
      </c>
      <c r="C96" t="s">
        <v>213</v>
      </c>
      <c r="D96" s="8">
        <v>12560070</v>
      </c>
      <c r="E96" t="s">
        <v>15</v>
      </c>
      <c r="F96" t="s">
        <v>67</v>
      </c>
      <c r="G96" t="s">
        <v>68</v>
      </c>
      <c r="H96">
        <v>8</v>
      </c>
      <c r="I96">
        <v>38.28</v>
      </c>
      <c r="J96" t="s">
        <v>69</v>
      </c>
      <c r="K96" t="s">
        <v>70</v>
      </c>
      <c r="L96" t="s">
        <v>71</v>
      </c>
      <c r="M96" t="s">
        <v>72</v>
      </c>
      <c r="N96">
        <v>0.01</v>
      </c>
      <c r="O96">
        <v>1.0000000000000009E-2</v>
      </c>
      <c r="P96">
        <v>8</v>
      </c>
      <c r="Q96">
        <v>0</v>
      </c>
    </row>
    <row r="97" spans="1:17" x14ac:dyDescent="0.2">
      <c r="A97" t="s">
        <v>214</v>
      </c>
      <c r="B97" t="s">
        <v>215</v>
      </c>
      <c r="C97" t="s">
        <v>216</v>
      </c>
      <c r="D97" s="8">
        <v>12613402</v>
      </c>
      <c r="E97" t="s">
        <v>73</v>
      </c>
      <c r="F97" t="s">
        <v>67</v>
      </c>
      <c r="G97" t="s">
        <v>68</v>
      </c>
      <c r="H97">
        <v>24</v>
      </c>
      <c r="I97">
        <v>73.319999999999993</v>
      </c>
      <c r="J97" t="s">
        <v>69</v>
      </c>
      <c r="K97" t="s">
        <v>70</v>
      </c>
      <c r="L97" t="s">
        <v>71</v>
      </c>
      <c r="M97" t="s">
        <v>72</v>
      </c>
      <c r="N97">
        <v>0.02</v>
      </c>
      <c r="O97">
        <v>2.0000000000000018E-2</v>
      </c>
      <c r="P97">
        <v>24</v>
      </c>
      <c r="Q97">
        <v>0</v>
      </c>
    </row>
    <row r="98" spans="1:17" x14ac:dyDescent="0.2">
      <c r="A98" t="s">
        <v>214</v>
      </c>
      <c r="B98" t="s">
        <v>215</v>
      </c>
      <c r="C98" t="s">
        <v>216</v>
      </c>
      <c r="D98" s="8">
        <v>12605994</v>
      </c>
      <c r="E98" t="s">
        <v>85</v>
      </c>
      <c r="F98" t="s">
        <v>67</v>
      </c>
      <c r="G98" t="s">
        <v>68</v>
      </c>
      <c r="H98">
        <v>2</v>
      </c>
      <c r="I98">
        <v>37.5</v>
      </c>
      <c r="J98" t="s">
        <v>69</v>
      </c>
      <c r="K98" t="s">
        <v>70</v>
      </c>
      <c r="L98" t="s">
        <v>71</v>
      </c>
      <c r="M98" t="s">
        <v>72</v>
      </c>
      <c r="N98">
        <v>0.01</v>
      </c>
      <c r="O98">
        <v>1.0000000000000009E-2</v>
      </c>
      <c r="P98">
        <v>2</v>
      </c>
      <c r="Q98">
        <v>0</v>
      </c>
    </row>
    <row r="99" spans="1:17" x14ac:dyDescent="0.2">
      <c r="A99" t="s">
        <v>214</v>
      </c>
      <c r="B99" t="s">
        <v>215</v>
      </c>
      <c r="C99" t="s">
        <v>216</v>
      </c>
      <c r="D99" s="8">
        <v>12436421</v>
      </c>
      <c r="E99" t="s">
        <v>6</v>
      </c>
      <c r="F99" t="s">
        <v>67</v>
      </c>
      <c r="G99" t="s">
        <v>68</v>
      </c>
      <c r="H99">
        <v>4</v>
      </c>
      <c r="I99">
        <v>42.99</v>
      </c>
      <c r="J99" t="s">
        <v>69</v>
      </c>
      <c r="K99" t="s">
        <v>70</v>
      </c>
      <c r="L99" t="s">
        <v>71</v>
      </c>
      <c r="M99" t="s">
        <v>72</v>
      </c>
      <c r="N99">
        <v>0.02</v>
      </c>
      <c r="O99">
        <v>2.0000000000000018E-2</v>
      </c>
      <c r="P99">
        <v>4</v>
      </c>
      <c r="Q99">
        <v>0</v>
      </c>
    </row>
    <row r="100" spans="1:17" x14ac:dyDescent="0.2">
      <c r="A100" t="s">
        <v>214</v>
      </c>
      <c r="B100" t="s">
        <v>215</v>
      </c>
      <c r="C100" t="s">
        <v>216</v>
      </c>
      <c r="D100" s="8">
        <v>12575127</v>
      </c>
      <c r="E100" t="s">
        <v>13</v>
      </c>
      <c r="F100" t="s">
        <v>67</v>
      </c>
      <c r="G100" t="s">
        <v>68</v>
      </c>
      <c r="H100">
        <v>24</v>
      </c>
      <c r="I100">
        <v>207.94</v>
      </c>
      <c r="J100" t="s">
        <v>69</v>
      </c>
      <c r="K100" t="s">
        <v>70</v>
      </c>
      <c r="L100" t="s">
        <v>71</v>
      </c>
      <c r="M100" t="s">
        <v>72</v>
      </c>
      <c r="N100">
        <v>0.05</v>
      </c>
      <c r="O100">
        <v>5.0000000000000044E-2</v>
      </c>
      <c r="P100">
        <v>24</v>
      </c>
      <c r="Q100">
        <v>0</v>
      </c>
    </row>
    <row r="101" spans="1:17" x14ac:dyDescent="0.2">
      <c r="A101" t="s">
        <v>214</v>
      </c>
      <c r="B101" t="s">
        <v>215</v>
      </c>
      <c r="C101" t="s">
        <v>216</v>
      </c>
      <c r="D101" s="8">
        <v>12560070</v>
      </c>
      <c r="E101" t="s">
        <v>15</v>
      </c>
      <c r="F101" t="s">
        <v>67</v>
      </c>
      <c r="G101" t="s">
        <v>68</v>
      </c>
      <c r="H101">
        <v>8</v>
      </c>
      <c r="I101">
        <v>38.28</v>
      </c>
      <c r="J101" t="s">
        <v>69</v>
      </c>
      <c r="K101" t="s">
        <v>70</v>
      </c>
      <c r="L101" t="s">
        <v>71</v>
      </c>
      <c r="M101" t="s">
        <v>72</v>
      </c>
      <c r="N101">
        <v>0.01</v>
      </c>
      <c r="O101">
        <v>1.0000000000000009E-2</v>
      </c>
      <c r="P101">
        <v>8</v>
      </c>
      <c r="Q101">
        <v>0</v>
      </c>
    </row>
    <row r="102" spans="1:17" x14ac:dyDescent="0.2">
      <c r="A102" t="s">
        <v>217</v>
      </c>
      <c r="B102" t="s">
        <v>218</v>
      </c>
      <c r="C102" t="s">
        <v>219</v>
      </c>
      <c r="D102" s="8">
        <v>12575127</v>
      </c>
      <c r="E102" t="s">
        <v>13</v>
      </c>
      <c r="F102" t="s">
        <v>67</v>
      </c>
      <c r="G102" t="s">
        <v>68</v>
      </c>
      <c r="H102">
        <v>24</v>
      </c>
      <c r="I102">
        <v>207.94</v>
      </c>
      <c r="J102" t="s">
        <v>69</v>
      </c>
      <c r="K102" t="s">
        <v>70</v>
      </c>
      <c r="L102" t="s">
        <v>71</v>
      </c>
      <c r="M102" t="s">
        <v>72</v>
      </c>
      <c r="N102">
        <v>0.05</v>
      </c>
      <c r="O102">
        <v>5.0000000000000044E-2</v>
      </c>
      <c r="P102">
        <v>24</v>
      </c>
      <c r="Q102">
        <v>0</v>
      </c>
    </row>
    <row r="103" spans="1:17" x14ac:dyDescent="0.2">
      <c r="A103" t="s">
        <v>220</v>
      </c>
      <c r="B103" t="s">
        <v>221</v>
      </c>
      <c r="C103" t="s">
        <v>222</v>
      </c>
      <c r="D103" s="8">
        <v>12613402</v>
      </c>
      <c r="E103" t="s">
        <v>73</v>
      </c>
      <c r="F103" t="s">
        <v>67</v>
      </c>
      <c r="G103" t="s">
        <v>68</v>
      </c>
      <c r="H103">
        <v>48</v>
      </c>
      <c r="I103">
        <v>146.63</v>
      </c>
      <c r="J103" t="s">
        <v>78</v>
      </c>
      <c r="K103" t="s">
        <v>70</v>
      </c>
      <c r="L103" t="s">
        <v>71</v>
      </c>
      <c r="M103" t="s">
        <v>72</v>
      </c>
      <c r="N103">
        <v>0.05</v>
      </c>
      <c r="O103">
        <v>5.0000000000000044E-2</v>
      </c>
      <c r="P103">
        <v>48</v>
      </c>
      <c r="Q103">
        <v>0</v>
      </c>
    </row>
    <row r="104" spans="1:17" x14ac:dyDescent="0.2">
      <c r="A104" t="s">
        <v>220</v>
      </c>
      <c r="B104" t="s">
        <v>221</v>
      </c>
      <c r="C104" t="s">
        <v>222</v>
      </c>
      <c r="D104" s="8">
        <v>12604416</v>
      </c>
      <c r="E104" t="s">
        <v>146</v>
      </c>
      <c r="F104" t="s">
        <v>67</v>
      </c>
      <c r="G104" t="s">
        <v>68</v>
      </c>
      <c r="H104">
        <v>10</v>
      </c>
      <c r="I104">
        <v>74.45</v>
      </c>
      <c r="J104" t="s">
        <v>78</v>
      </c>
      <c r="K104" t="s">
        <v>70</v>
      </c>
      <c r="L104" t="s">
        <v>71</v>
      </c>
      <c r="M104" t="s">
        <v>72</v>
      </c>
      <c r="N104">
        <v>0.02</v>
      </c>
      <c r="O104">
        <v>2.0000000000000018E-2</v>
      </c>
      <c r="P104">
        <v>10</v>
      </c>
      <c r="Q104">
        <v>0</v>
      </c>
    </row>
    <row r="105" spans="1:17" x14ac:dyDescent="0.2">
      <c r="A105" t="s">
        <v>223</v>
      </c>
      <c r="B105" t="s">
        <v>224</v>
      </c>
      <c r="C105" t="s">
        <v>225</v>
      </c>
      <c r="D105" s="8">
        <v>12575127</v>
      </c>
      <c r="E105" t="s">
        <v>13</v>
      </c>
      <c r="F105" t="s">
        <v>67</v>
      </c>
      <c r="G105" t="s">
        <v>68</v>
      </c>
      <c r="H105">
        <v>24</v>
      </c>
      <c r="I105">
        <v>207.94</v>
      </c>
      <c r="J105" t="s">
        <v>91</v>
      </c>
      <c r="K105" t="s">
        <v>70</v>
      </c>
      <c r="L105" t="s">
        <v>71</v>
      </c>
      <c r="M105" t="s">
        <v>72</v>
      </c>
      <c r="N105">
        <v>0.05</v>
      </c>
      <c r="O105">
        <v>5.0000000000000044E-2</v>
      </c>
      <c r="P105">
        <v>24</v>
      </c>
      <c r="Q105">
        <v>0</v>
      </c>
    </row>
    <row r="106" spans="1:17" x14ac:dyDescent="0.2">
      <c r="A106" t="s">
        <v>226</v>
      </c>
      <c r="B106" t="s">
        <v>227</v>
      </c>
      <c r="C106" t="s">
        <v>228</v>
      </c>
      <c r="D106" s="8">
        <v>12575074</v>
      </c>
      <c r="E106" t="s">
        <v>229</v>
      </c>
      <c r="F106" t="s">
        <v>67</v>
      </c>
      <c r="G106" t="s">
        <v>68</v>
      </c>
      <c r="H106">
        <v>2</v>
      </c>
      <c r="I106">
        <v>459.52</v>
      </c>
      <c r="J106" t="s">
        <v>69</v>
      </c>
      <c r="K106" t="s">
        <v>70</v>
      </c>
      <c r="L106" t="s">
        <v>71</v>
      </c>
      <c r="M106" t="s">
        <v>72</v>
      </c>
      <c r="N106">
        <v>0.11</v>
      </c>
      <c r="O106">
        <v>0.1100000000000001</v>
      </c>
      <c r="P106">
        <v>2</v>
      </c>
      <c r="Q106">
        <v>0</v>
      </c>
    </row>
    <row r="107" spans="1:17" x14ac:dyDescent="0.2">
      <c r="A107" t="s">
        <v>226</v>
      </c>
      <c r="B107" t="s">
        <v>227</v>
      </c>
      <c r="C107" t="s">
        <v>228</v>
      </c>
      <c r="D107" s="8">
        <v>12612587</v>
      </c>
      <c r="E107" t="s">
        <v>101</v>
      </c>
      <c r="F107" t="s">
        <v>67</v>
      </c>
      <c r="G107" t="s">
        <v>68</v>
      </c>
      <c r="H107">
        <v>3</v>
      </c>
      <c r="I107">
        <v>750.4</v>
      </c>
      <c r="J107" t="s">
        <v>69</v>
      </c>
      <c r="K107" t="s">
        <v>70</v>
      </c>
      <c r="L107" t="s">
        <v>71</v>
      </c>
      <c r="M107" t="s">
        <v>72</v>
      </c>
      <c r="N107">
        <v>0.15</v>
      </c>
      <c r="O107">
        <v>0.14999999999999991</v>
      </c>
      <c r="P107">
        <v>3</v>
      </c>
      <c r="Q107">
        <v>0</v>
      </c>
    </row>
    <row r="108" spans="1:17" x14ac:dyDescent="0.2">
      <c r="A108" t="s">
        <v>226</v>
      </c>
      <c r="B108" t="s">
        <v>227</v>
      </c>
      <c r="C108" t="s">
        <v>228</v>
      </c>
      <c r="D108" s="8">
        <v>12575055</v>
      </c>
      <c r="E108" t="s">
        <v>10</v>
      </c>
      <c r="F108" t="s">
        <v>67</v>
      </c>
      <c r="G108" t="s">
        <v>68</v>
      </c>
      <c r="H108">
        <v>3</v>
      </c>
      <c r="I108">
        <v>359</v>
      </c>
      <c r="J108" t="s">
        <v>69</v>
      </c>
      <c r="K108" t="s">
        <v>70</v>
      </c>
      <c r="L108" t="s">
        <v>71</v>
      </c>
      <c r="M108" t="s">
        <v>72</v>
      </c>
      <c r="N108">
        <v>0.13</v>
      </c>
      <c r="O108">
        <v>0.12999999999999989</v>
      </c>
      <c r="P108">
        <v>3</v>
      </c>
      <c r="Q108">
        <v>0</v>
      </c>
    </row>
    <row r="109" spans="1:17" x14ac:dyDescent="0.2">
      <c r="A109" t="s">
        <v>226</v>
      </c>
      <c r="B109" t="s">
        <v>227</v>
      </c>
      <c r="C109" t="s">
        <v>228</v>
      </c>
      <c r="D109" s="8">
        <v>12560528</v>
      </c>
      <c r="E109" t="s">
        <v>26</v>
      </c>
      <c r="F109" t="s">
        <v>67</v>
      </c>
      <c r="G109" t="s">
        <v>68</v>
      </c>
      <c r="H109">
        <v>2</v>
      </c>
      <c r="I109">
        <v>134.57</v>
      </c>
      <c r="J109" t="s">
        <v>69</v>
      </c>
      <c r="K109" t="s">
        <v>70</v>
      </c>
      <c r="L109" t="s">
        <v>71</v>
      </c>
      <c r="M109" t="s">
        <v>72</v>
      </c>
      <c r="N109">
        <v>0.05</v>
      </c>
      <c r="O109">
        <v>5.0000000000000044E-2</v>
      </c>
      <c r="P109">
        <v>2</v>
      </c>
      <c r="Q109">
        <v>0</v>
      </c>
    </row>
    <row r="110" spans="1:17" x14ac:dyDescent="0.2">
      <c r="A110" t="s">
        <v>226</v>
      </c>
      <c r="B110" t="s">
        <v>227</v>
      </c>
      <c r="C110" t="s">
        <v>228</v>
      </c>
      <c r="D110" s="8">
        <v>12560593</v>
      </c>
      <c r="E110" t="s">
        <v>42</v>
      </c>
      <c r="F110" t="s">
        <v>67</v>
      </c>
      <c r="G110" t="s">
        <v>68</v>
      </c>
      <c r="H110">
        <v>2</v>
      </c>
      <c r="I110">
        <v>135.87</v>
      </c>
      <c r="J110" t="s">
        <v>69</v>
      </c>
      <c r="K110" t="s">
        <v>70</v>
      </c>
      <c r="L110" t="s">
        <v>71</v>
      </c>
      <c r="M110" t="s">
        <v>72</v>
      </c>
      <c r="N110">
        <v>0.05</v>
      </c>
      <c r="O110">
        <v>5.0000000000000044E-2</v>
      </c>
      <c r="P110">
        <v>2</v>
      </c>
      <c r="Q110">
        <v>0</v>
      </c>
    </row>
    <row r="111" spans="1:17" x14ac:dyDescent="0.2">
      <c r="A111" t="s">
        <v>226</v>
      </c>
      <c r="B111" t="s">
        <v>227</v>
      </c>
      <c r="C111" t="s">
        <v>228</v>
      </c>
      <c r="D111" s="8">
        <v>12560753</v>
      </c>
      <c r="E111" t="s">
        <v>35</v>
      </c>
      <c r="F111" t="s">
        <v>67</v>
      </c>
      <c r="G111" t="s">
        <v>68</v>
      </c>
      <c r="H111">
        <v>2</v>
      </c>
      <c r="I111">
        <v>135.87</v>
      </c>
      <c r="J111" t="s">
        <v>69</v>
      </c>
      <c r="K111" t="s">
        <v>70</v>
      </c>
      <c r="L111" t="s">
        <v>71</v>
      </c>
      <c r="M111" t="s">
        <v>72</v>
      </c>
      <c r="N111">
        <v>0.05</v>
      </c>
      <c r="O111">
        <v>5.0000000000000044E-2</v>
      </c>
      <c r="P111">
        <v>2</v>
      </c>
      <c r="Q111">
        <v>0</v>
      </c>
    </row>
    <row r="112" spans="1:17" x14ac:dyDescent="0.2">
      <c r="A112" t="s">
        <v>226</v>
      </c>
      <c r="B112" t="s">
        <v>227</v>
      </c>
      <c r="C112" t="s">
        <v>228</v>
      </c>
      <c r="D112" s="8">
        <v>12560970</v>
      </c>
      <c r="E112" t="s">
        <v>43</v>
      </c>
      <c r="F112" t="s">
        <v>67</v>
      </c>
      <c r="G112" t="s">
        <v>68</v>
      </c>
      <c r="H112">
        <v>2</v>
      </c>
      <c r="I112">
        <v>135.87</v>
      </c>
      <c r="J112" t="s">
        <v>69</v>
      </c>
      <c r="K112" t="s">
        <v>70</v>
      </c>
      <c r="L112" t="s">
        <v>71</v>
      </c>
      <c r="M112" t="s">
        <v>72</v>
      </c>
      <c r="N112">
        <v>0.05</v>
      </c>
      <c r="O112">
        <v>5.0000000000000044E-2</v>
      </c>
      <c r="P112">
        <v>2</v>
      </c>
      <c r="Q112">
        <v>0</v>
      </c>
    </row>
    <row r="113" spans="1:17" x14ac:dyDescent="0.2">
      <c r="A113" t="s">
        <v>230</v>
      </c>
      <c r="B113" t="s">
        <v>231</v>
      </c>
      <c r="C113" t="s">
        <v>232</v>
      </c>
      <c r="D113" s="8">
        <v>12575127</v>
      </c>
      <c r="E113" t="s">
        <v>13</v>
      </c>
      <c r="F113" t="s">
        <v>67</v>
      </c>
      <c r="G113" t="s">
        <v>68</v>
      </c>
      <c r="H113">
        <v>60</v>
      </c>
      <c r="I113">
        <v>519.85</v>
      </c>
      <c r="J113" t="s">
        <v>91</v>
      </c>
      <c r="K113" t="s">
        <v>70</v>
      </c>
      <c r="L113" t="s">
        <v>71</v>
      </c>
      <c r="M113" t="s">
        <v>72</v>
      </c>
      <c r="N113">
        <v>0.12</v>
      </c>
      <c r="O113">
        <v>0.12000000000000011</v>
      </c>
      <c r="P113">
        <v>60</v>
      </c>
      <c r="Q113">
        <v>0</v>
      </c>
    </row>
    <row r="114" spans="1:17" x14ac:dyDescent="0.2">
      <c r="A114" t="s">
        <v>233</v>
      </c>
      <c r="B114" t="s">
        <v>234</v>
      </c>
      <c r="C114" t="s">
        <v>235</v>
      </c>
      <c r="D114" s="8">
        <v>12613402</v>
      </c>
      <c r="E114" t="s">
        <v>73</v>
      </c>
      <c r="F114" t="s">
        <v>67</v>
      </c>
      <c r="G114" t="s">
        <v>68</v>
      </c>
      <c r="H114">
        <v>1008</v>
      </c>
      <c r="I114">
        <v>3079.26</v>
      </c>
      <c r="J114" t="s">
        <v>69</v>
      </c>
      <c r="K114" t="s">
        <v>70</v>
      </c>
      <c r="L114" t="s">
        <v>71</v>
      </c>
      <c r="M114" t="s">
        <v>72</v>
      </c>
      <c r="N114">
        <v>1</v>
      </c>
      <c r="O114">
        <v>0</v>
      </c>
      <c r="P114">
        <v>0</v>
      </c>
      <c r="Q114">
        <v>1</v>
      </c>
    </row>
    <row r="115" spans="1:17" x14ac:dyDescent="0.2">
      <c r="A115" t="s">
        <v>233</v>
      </c>
      <c r="B115" t="s">
        <v>234</v>
      </c>
      <c r="C115" t="s">
        <v>235</v>
      </c>
      <c r="D115" s="8">
        <v>12599975</v>
      </c>
      <c r="E115" t="s">
        <v>236</v>
      </c>
      <c r="F115" t="s">
        <v>67</v>
      </c>
      <c r="G115" t="s">
        <v>68</v>
      </c>
      <c r="H115">
        <v>10</v>
      </c>
      <c r="I115">
        <v>1074.6400000000001</v>
      </c>
      <c r="J115" t="s">
        <v>69</v>
      </c>
      <c r="K115" t="s">
        <v>70</v>
      </c>
      <c r="L115" t="s">
        <v>71</v>
      </c>
      <c r="M115" t="s">
        <v>72</v>
      </c>
      <c r="N115">
        <v>0.59</v>
      </c>
      <c r="O115">
        <v>0.58999999999999986</v>
      </c>
      <c r="P115">
        <v>10</v>
      </c>
      <c r="Q115">
        <v>0</v>
      </c>
    </row>
    <row r="116" spans="1:17" x14ac:dyDescent="0.2">
      <c r="A116" t="s">
        <v>233</v>
      </c>
      <c r="B116" t="s">
        <v>234</v>
      </c>
      <c r="C116" t="s">
        <v>235</v>
      </c>
      <c r="D116" s="8">
        <v>12436421</v>
      </c>
      <c r="E116" t="s">
        <v>6</v>
      </c>
      <c r="F116" t="s">
        <v>67</v>
      </c>
      <c r="G116" t="s">
        <v>68</v>
      </c>
      <c r="H116">
        <v>384</v>
      </c>
      <c r="I116">
        <v>4126.62</v>
      </c>
      <c r="J116" t="s">
        <v>69</v>
      </c>
      <c r="K116" t="s">
        <v>70</v>
      </c>
      <c r="L116" t="s">
        <v>71</v>
      </c>
      <c r="M116" t="s">
        <v>72</v>
      </c>
      <c r="N116">
        <v>2</v>
      </c>
      <c r="O116">
        <v>0</v>
      </c>
      <c r="P116">
        <v>0</v>
      </c>
      <c r="Q116">
        <v>2</v>
      </c>
    </row>
    <row r="117" spans="1:17" x14ac:dyDescent="0.2">
      <c r="A117" t="s">
        <v>233</v>
      </c>
      <c r="B117" t="s">
        <v>234</v>
      </c>
      <c r="C117" t="s">
        <v>235</v>
      </c>
      <c r="D117" s="8">
        <v>12536218</v>
      </c>
      <c r="E117" t="s">
        <v>0</v>
      </c>
      <c r="F117" t="s">
        <v>67</v>
      </c>
      <c r="G117" t="s">
        <v>68</v>
      </c>
      <c r="H117">
        <v>20</v>
      </c>
      <c r="I117">
        <v>214.93</v>
      </c>
      <c r="J117" t="s">
        <v>69</v>
      </c>
      <c r="K117" t="s">
        <v>70</v>
      </c>
      <c r="L117" t="s">
        <v>71</v>
      </c>
      <c r="M117" t="s">
        <v>72</v>
      </c>
      <c r="N117">
        <v>0.1</v>
      </c>
      <c r="O117">
        <v>0.10000000000000009</v>
      </c>
      <c r="P117">
        <v>20</v>
      </c>
      <c r="Q117">
        <v>0</v>
      </c>
    </row>
    <row r="118" spans="1:17" x14ac:dyDescent="0.2">
      <c r="A118" t="s">
        <v>233</v>
      </c>
      <c r="B118" t="s">
        <v>234</v>
      </c>
      <c r="C118" t="s">
        <v>235</v>
      </c>
      <c r="D118" s="8">
        <v>14038791</v>
      </c>
      <c r="E118" t="s">
        <v>113</v>
      </c>
      <c r="F118" t="s">
        <v>67</v>
      </c>
      <c r="G118" t="s">
        <v>68</v>
      </c>
      <c r="H118">
        <v>5</v>
      </c>
      <c r="I118">
        <v>571.67999999999995</v>
      </c>
      <c r="J118" t="s">
        <v>69</v>
      </c>
      <c r="K118" t="s">
        <v>70</v>
      </c>
      <c r="L118" t="s">
        <v>71</v>
      </c>
      <c r="M118" t="s">
        <v>72</v>
      </c>
      <c r="N118">
        <v>0.25</v>
      </c>
      <c r="O118">
        <v>0.25</v>
      </c>
      <c r="P118">
        <v>5</v>
      </c>
      <c r="Q118">
        <v>0</v>
      </c>
    </row>
    <row r="119" spans="1:17" x14ac:dyDescent="0.2">
      <c r="A119" t="s">
        <v>233</v>
      </c>
      <c r="B119" t="s">
        <v>234</v>
      </c>
      <c r="C119" t="s">
        <v>235</v>
      </c>
      <c r="D119" s="8">
        <v>12618899</v>
      </c>
      <c r="E119" t="s">
        <v>76</v>
      </c>
      <c r="F119" t="s">
        <v>67</v>
      </c>
      <c r="G119" t="s">
        <v>68</v>
      </c>
      <c r="H119">
        <v>12</v>
      </c>
      <c r="I119">
        <v>264.08</v>
      </c>
      <c r="J119" t="s">
        <v>69</v>
      </c>
      <c r="K119" t="s">
        <v>70</v>
      </c>
      <c r="L119" t="s">
        <v>71</v>
      </c>
      <c r="M119" t="s">
        <v>72</v>
      </c>
      <c r="N119">
        <v>0.33</v>
      </c>
      <c r="O119">
        <v>0.33000000000000007</v>
      </c>
      <c r="P119">
        <v>12</v>
      </c>
      <c r="Q119">
        <v>0</v>
      </c>
    </row>
    <row r="120" spans="1:17" x14ac:dyDescent="0.2">
      <c r="A120" t="s">
        <v>233</v>
      </c>
      <c r="B120" t="s">
        <v>234</v>
      </c>
      <c r="C120" t="s">
        <v>235</v>
      </c>
      <c r="D120" s="8">
        <v>12612370</v>
      </c>
      <c r="E120" t="s">
        <v>88</v>
      </c>
      <c r="F120" t="s">
        <v>67</v>
      </c>
      <c r="G120" t="s">
        <v>68</v>
      </c>
      <c r="H120">
        <v>12</v>
      </c>
      <c r="I120">
        <v>162.38</v>
      </c>
      <c r="J120" t="s">
        <v>69</v>
      </c>
      <c r="K120" t="s">
        <v>70</v>
      </c>
      <c r="L120" t="s">
        <v>71</v>
      </c>
      <c r="M120" t="s">
        <v>72</v>
      </c>
      <c r="N120">
        <v>0.2</v>
      </c>
      <c r="O120">
        <v>0.19999999999999996</v>
      </c>
      <c r="P120">
        <v>12</v>
      </c>
      <c r="Q120">
        <v>0</v>
      </c>
    </row>
    <row r="121" spans="1:17" x14ac:dyDescent="0.2">
      <c r="A121" t="s">
        <v>237</v>
      </c>
      <c r="B121" t="s">
        <v>238</v>
      </c>
      <c r="C121" t="s">
        <v>155</v>
      </c>
      <c r="D121" s="8">
        <v>43564</v>
      </c>
      <c r="E121" t="s">
        <v>97</v>
      </c>
      <c r="F121" t="s">
        <v>67</v>
      </c>
      <c r="G121" t="s">
        <v>68</v>
      </c>
      <c r="H121">
        <v>1</v>
      </c>
      <c r="I121">
        <v>67.27</v>
      </c>
      <c r="J121" t="s">
        <v>77</v>
      </c>
      <c r="K121" t="s">
        <v>70</v>
      </c>
      <c r="L121" t="s">
        <v>239</v>
      </c>
      <c r="M121" t="s">
        <v>72</v>
      </c>
      <c r="N121">
        <v>1</v>
      </c>
      <c r="O121">
        <v>0</v>
      </c>
      <c r="P121">
        <v>0</v>
      </c>
      <c r="Q121">
        <v>1</v>
      </c>
    </row>
    <row r="122" spans="1:17" x14ac:dyDescent="0.2">
      <c r="A122" t="s">
        <v>237</v>
      </c>
      <c r="B122" t="s">
        <v>238</v>
      </c>
      <c r="C122" t="s">
        <v>155</v>
      </c>
      <c r="D122" s="8">
        <v>12613402</v>
      </c>
      <c r="E122" t="s">
        <v>73</v>
      </c>
      <c r="F122" t="s">
        <v>67</v>
      </c>
      <c r="G122" t="s">
        <v>68</v>
      </c>
      <c r="H122">
        <v>6</v>
      </c>
      <c r="I122">
        <v>18.32</v>
      </c>
      <c r="J122" t="s">
        <v>77</v>
      </c>
      <c r="K122" t="s">
        <v>70</v>
      </c>
      <c r="L122" t="s">
        <v>239</v>
      </c>
      <c r="M122" t="s">
        <v>72</v>
      </c>
      <c r="N122">
        <v>0.01</v>
      </c>
      <c r="O122">
        <v>1.0000000000000009E-2</v>
      </c>
      <c r="P122">
        <v>6</v>
      </c>
      <c r="Q122">
        <v>0</v>
      </c>
    </row>
    <row r="123" spans="1:17" x14ac:dyDescent="0.2">
      <c r="A123" t="s">
        <v>237</v>
      </c>
      <c r="B123" t="s">
        <v>238</v>
      </c>
      <c r="C123" t="s">
        <v>155</v>
      </c>
      <c r="D123" s="8">
        <v>12436421</v>
      </c>
      <c r="E123" t="s">
        <v>6</v>
      </c>
      <c r="F123" t="s">
        <v>67</v>
      </c>
      <c r="G123" t="s">
        <v>68</v>
      </c>
      <c r="H123">
        <v>4</v>
      </c>
      <c r="I123">
        <v>42.99</v>
      </c>
      <c r="J123" t="s">
        <v>77</v>
      </c>
      <c r="K123" t="s">
        <v>70</v>
      </c>
      <c r="L123" t="s">
        <v>239</v>
      </c>
      <c r="M123" t="s">
        <v>72</v>
      </c>
      <c r="N123">
        <v>0.02</v>
      </c>
      <c r="O123">
        <v>2.0000000000000018E-2</v>
      </c>
      <c r="P123">
        <v>4</v>
      </c>
      <c r="Q123">
        <v>0</v>
      </c>
    </row>
    <row r="124" spans="1:17" x14ac:dyDescent="0.2">
      <c r="A124" t="s">
        <v>240</v>
      </c>
      <c r="B124" t="s">
        <v>241</v>
      </c>
      <c r="C124" t="s">
        <v>242</v>
      </c>
      <c r="D124" s="8">
        <v>43564</v>
      </c>
      <c r="E124" t="s">
        <v>97</v>
      </c>
      <c r="F124" t="s">
        <v>67</v>
      </c>
      <c r="G124" t="s">
        <v>68</v>
      </c>
      <c r="H124">
        <v>1</v>
      </c>
      <c r="I124">
        <v>67.27</v>
      </c>
      <c r="J124" t="s">
        <v>69</v>
      </c>
      <c r="K124" t="s">
        <v>70</v>
      </c>
      <c r="L124" t="s">
        <v>71</v>
      </c>
      <c r="M124" t="s">
        <v>72</v>
      </c>
      <c r="N124">
        <v>1</v>
      </c>
      <c r="O124">
        <v>0</v>
      </c>
      <c r="P124">
        <v>0</v>
      </c>
      <c r="Q124">
        <v>1</v>
      </c>
    </row>
    <row r="125" spans="1:17" x14ac:dyDescent="0.2">
      <c r="A125" t="s">
        <v>240</v>
      </c>
      <c r="B125" t="s">
        <v>241</v>
      </c>
      <c r="C125" t="s">
        <v>242</v>
      </c>
      <c r="D125" s="8">
        <v>12613402</v>
      </c>
      <c r="E125" t="s">
        <v>73</v>
      </c>
      <c r="F125" t="s">
        <v>67</v>
      </c>
      <c r="G125" t="s">
        <v>68</v>
      </c>
      <c r="H125">
        <v>6</v>
      </c>
      <c r="I125">
        <v>18.32</v>
      </c>
      <c r="J125" t="s">
        <v>69</v>
      </c>
      <c r="K125" t="s">
        <v>70</v>
      </c>
      <c r="L125" t="s">
        <v>71</v>
      </c>
      <c r="M125" t="s">
        <v>72</v>
      </c>
      <c r="N125">
        <v>0.01</v>
      </c>
      <c r="O125">
        <v>1.0000000000000009E-2</v>
      </c>
      <c r="P125">
        <v>6</v>
      </c>
      <c r="Q125">
        <v>0</v>
      </c>
    </row>
    <row r="126" spans="1:17" x14ac:dyDescent="0.2">
      <c r="A126" t="s">
        <v>240</v>
      </c>
      <c r="B126" t="s">
        <v>241</v>
      </c>
      <c r="C126" t="s">
        <v>242</v>
      </c>
      <c r="D126" s="8">
        <v>12605969</v>
      </c>
      <c r="E126" t="s">
        <v>66</v>
      </c>
      <c r="F126" t="s">
        <v>67</v>
      </c>
      <c r="G126" t="s">
        <v>68</v>
      </c>
      <c r="H126">
        <v>2</v>
      </c>
      <c r="I126">
        <v>37.5</v>
      </c>
      <c r="J126" t="s">
        <v>69</v>
      </c>
      <c r="K126" t="s">
        <v>70</v>
      </c>
      <c r="L126" t="s">
        <v>71</v>
      </c>
      <c r="M126" t="s">
        <v>72</v>
      </c>
      <c r="N126">
        <v>0.01</v>
      </c>
      <c r="O126">
        <v>1.0000000000000009E-2</v>
      </c>
      <c r="P126">
        <v>2</v>
      </c>
      <c r="Q126">
        <v>0</v>
      </c>
    </row>
    <row r="127" spans="1:17" x14ac:dyDescent="0.2">
      <c r="A127" t="s">
        <v>240</v>
      </c>
      <c r="B127" t="s">
        <v>241</v>
      </c>
      <c r="C127" t="s">
        <v>242</v>
      </c>
      <c r="D127" s="8">
        <v>12436421</v>
      </c>
      <c r="E127" t="s">
        <v>6</v>
      </c>
      <c r="F127" t="s">
        <v>67</v>
      </c>
      <c r="G127" t="s">
        <v>68</v>
      </c>
      <c r="H127">
        <v>4</v>
      </c>
      <c r="I127">
        <v>42.99</v>
      </c>
      <c r="J127" t="s">
        <v>69</v>
      </c>
      <c r="K127" t="s">
        <v>70</v>
      </c>
      <c r="L127" t="s">
        <v>71</v>
      </c>
      <c r="M127" t="s">
        <v>72</v>
      </c>
      <c r="N127">
        <v>0.02</v>
      </c>
      <c r="O127">
        <v>2.0000000000000018E-2</v>
      </c>
      <c r="P127">
        <v>4</v>
      </c>
      <c r="Q127">
        <v>0</v>
      </c>
    </row>
    <row r="128" spans="1:17" x14ac:dyDescent="0.2">
      <c r="A128" t="s">
        <v>240</v>
      </c>
      <c r="B128" t="s">
        <v>241</v>
      </c>
      <c r="C128" t="s">
        <v>242</v>
      </c>
      <c r="D128" s="8">
        <v>12604377</v>
      </c>
      <c r="E128" t="s">
        <v>93</v>
      </c>
      <c r="F128" t="s">
        <v>67</v>
      </c>
      <c r="G128" t="s">
        <v>68</v>
      </c>
      <c r="H128">
        <v>5</v>
      </c>
      <c r="I128">
        <v>67.27</v>
      </c>
      <c r="J128" t="s">
        <v>69</v>
      </c>
      <c r="K128" t="s">
        <v>70</v>
      </c>
      <c r="L128" t="s">
        <v>71</v>
      </c>
      <c r="M128" t="s">
        <v>72</v>
      </c>
      <c r="N128">
        <v>0.03</v>
      </c>
      <c r="O128">
        <v>3.0000000000000027E-2</v>
      </c>
      <c r="P128">
        <v>5</v>
      </c>
      <c r="Q128">
        <v>0</v>
      </c>
    </row>
    <row r="129" spans="1:17" x14ac:dyDescent="0.2">
      <c r="A129" t="s">
        <v>240</v>
      </c>
      <c r="B129" t="s">
        <v>241</v>
      </c>
      <c r="C129" t="s">
        <v>242</v>
      </c>
      <c r="D129" s="8">
        <v>12560070</v>
      </c>
      <c r="E129" t="s">
        <v>15</v>
      </c>
      <c r="F129" t="s">
        <v>67</v>
      </c>
      <c r="G129" t="s">
        <v>68</v>
      </c>
      <c r="H129">
        <v>8</v>
      </c>
      <c r="I129">
        <v>38.28</v>
      </c>
      <c r="J129" t="s">
        <v>69</v>
      </c>
      <c r="K129" t="s">
        <v>70</v>
      </c>
      <c r="L129" t="s">
        <v>71</v>
      </c>
      <c r="M129" t="s">
        <v>72</v>
      </c>
      <c r="N129">
        <v>0.01</v>
      </c>
      <c r="O129">
        <v>1.0000000000000009E-2</v>
      </c>
      <c r="P129">
        <v>8</v>
      </c>
      <c r="Q129">
        <v>0</v>
      </c>
    </row>
    <row r="130" spans="1:17" x14ac:dyDescent="0.2">
      <c r="A130" t="s">
        <v>243</v>
      </c>
      <c r="B130" t="s">
        <v>244</v>
      </c>
      <c r="C130" t="s">
        <v>245</v>
      </c>
      <c r="D130" s="8">
        <v>12436421</v>
      </c>
      <c r="E130" t="s">
        <v>6</v>
      </c>
      <c r="F130" t="s">
        <v>67</v>
      </c>
      <c r="G130" t="s">
        <v>68</v>
      </c>
      <c r="H130">
        <v>8</v>
      </c>
      <c r="I130">
        <v>85.97</v>
      </c>
      <c r="J130" t="s">
        <v>91</v>
      </c>
      <c r="K130" t="s">
        <v>70</v>
      </c>
      <c r="L130" t="s">
        <v>71</v>
      </c>
      <c r="M130" t="s">
        <v>72</v>
      </c>
      <c r="N130">
        <v>0.04</v>
      </c>
      <c r="O130">
        <v>4.0000000000000036E-2</v>
      </c>
      <c r="P130">
        <v>8</v>
      </c>
      <c r="Q130">
        <v>0</v>
      </c>
    </row>
    <row r="131" spans="1:17" x14ac:dyDescent="0.2">
      <c r="A131" t="s">
        <v>246</v>
      </c>
      <c r="B131" t="s">
        <v>247</v>
      </c>
      <c r="C131" t="s">
        <v>248</v>
      </c>
      <c r="D131" s="8">
        <v>43564</v>
      </c>
      <c r="E131" t="s">
        <v>97</v>
      </c>
      <c r="F131" t="s">
        <v>67</v>
      </c>
      <c r="G131" t="s">
        <v>68</v>
      </c>
      <c r="H131">
        <v>1</v>
      </c>
      <c r="I131">
        <v>67.27</v>
      </c>
      <c r="J131" t="s">
        <v>69</v>
      </c>
      <c r="K131" t="s">
        <v>70</v>
      </c>
      <c r="L131" t="s">
        <v>71</v>
      </c>
      <c r="M131" t="s">
        <v>72</v>
      </c>
      <c r="N131">
        <v>1</v>
      </c>
      <c r="O131">
        <v>0</v>
      </c>
      <c r="P131">
        <v>0</v>
      </c>
      <c r="Q131">
        <v>1</v>
      </c>
    </row>
    <row r="132" spans="1:17" x14ac:dyDescent="0.2">
      <c r="A132" t="s">
        <v>246</v>
      </c>
      <c r="B132" t="s">
        <v>247</v>
      </c>
      <c r="C132" t="s">
        <v>248</v>
      </c>
      <c r="D132" s="8">
        <v>12613402</v>
      </c>
      <c r="E132" t="s">
        <v>73</v>
      </c>
      <c r="F132" t="s">
        <v>67</v>
      </c>
      <c r="G132" t="s">
        <v>68</v>
      </c>
      <c r="H132">
        <v>6</v>
      </c>
      <c r="I132">
        <v>18.32</v>
      </c>
      <c r="J132" t="s">
        <v>69</v>
      </c>
      <c r="K132" t="s">
        <v>70</v>
      </c>
      <c r="L132" t="s">
        <v>71</v>
      </c>
      <c r="M132" t="s">
        <v>72</v>
      </c>
      <c r="N132">
        <v>0.01</v>
      </c>
      <c r="O132">
        <v>1.0000000000000009E-2</v>
      </c>
      <c r="P132">
        <v>6</v>
      </c>
      <c r="Q132">
        <v>0</v>
      </c>
    </row>
    <row r="133" spans="1:17" x14ac:dyDescent="0.2">
      <c r="A133" t="s">
        <v>246</v>
      </c>
      <c r="B133" t="s">
        <v>247</v>
      </c>
      <c r="C133" t="s">
        <v>248</v>
      </c>
      <c r="D133" s="8">
        <v>12605969</v>
      </c>
      <c r="E133" t="s">
        <v>66</v>
      </c>
      <c r="F133" t="s">
        <v>67</v>
      </c>
      <c r="G133" t="s">
        <v>68</v>
      </c>
      <c r="H133">
        <v>2</v>
      </c>
      <c r="I133">
        <v>37.5</v>
      </c>
      <c r="J133" t="s">
        <v>69</v>
      </c>
      <c r="K133" t="s">
        <v>70</v>
      </c>
      <c r="L133" t="s">
        <v>71</v>
      </c>
      <c r="M133" t="s">
        <v>72</v>
      </c>
      <c r="N133">
        <v>0.01</v>
      </c>
      <c r="O133">
        <v>1.0000000000000009E-2</v>
      </c>
      <c r="P133">
        <v>2</v>
      </c>
      <c r="Q133">
        <v>0</v>
      </c>
    </row>
    <row r="134" spans="1:17" x14ac:dyDescent="0.2">
      <c r="A134" t="s">
        <v>246</v>
      </c>
      <c r="B134" t="s">
        <v>247</v>
      </c>
      <c r="C134" t="s">
        <v>248</v>
      </c>
      <c r="D134" s="8">
        <v>12436421</v>
      </c>
      <c r="E134" t="s">
        <v>6</v>
      </c>
      <c r="F134" t="s">
        <v>67</v>
      </c>
      <c r="G134" t="s">
        <v>68</v>
      </c>
      <c r="H134">
        <v>4</v>
      </c>
      <c r="I134">
        <v>42.99</v>
      </c>
      <c r="J134" t="s">
        <v>69</v>
      </c>
      <c r="K134" t="s">
        <v>70</v>
      </c>
      <c r="L134" t="s">
        <v>71</v>
      </c>
      <c r="M134" t="s">
        <v>72</v>
      </c>
      <c r="N134">
        <v>0.02</v>
      </c>
      <c r="O134">
        <v>2.0000000000000018E-2</v>
      </c>
      <c r="P134">
        <v>4</v>
      </c>
      <c r="Q134">
        <v>0</v>
      </c>
    </row>
    <row r="135" spans="1:17" x14ac:dyDescent="0.2">
      <c r="A135" t="s">
        <v>246</v>
      </c>
      <c r="B135" t="s">
        <v>247</v>
      </c>
      <c r="C135" t="s">
        <v>248</v>
      </c>
      <c r="D135" s="8">
        <v>12604377</v>
      </c>
      <c r="E135" t="s">
        <v>93</v>
      </c>
      <c r="F135" t="s">
        <v>67</v>
      </c>
      <c r="G135" t="s">
        <v>68</v>
      </c>
      <c r="H135">
        <v>5</v>
      </c>
      <c r="I135">
        <v>67.27</v>
      </c>
      <c r="J135" t="s">
        <v>69</v>
      </c>
      <c r="K135" t="s">
        <v>70</v>
      </c>
      <c r="L135" t="s">
        <v>71</v>
      </c>
      <c r="M135" t="s">
        <v>72</v>
      </c>
      <c r="N135">
        <v>0.03</v>
      </c>
      <c r="O135">
        <v>3.0000000000000027E-2</v>
      </c>
      <c r="P135">
        <v>5</v>
      </c>
      <c r="Q135">
        <v>0</v>
      </c>
    </row>
    <row r="136" spans="1:17" x14ac:dyDescent="0.2">
      <c r="A136" t="s">
        <v>246</v>
      </c>
      <c r="B136" t="s">
        <v>247</v>
      </c>
      <c r="C136" t="s">
        <v>248</v>
      </c>
      <c r="D136" s="8">
        <v>12560070</v>
      </c>
      <c r="E136" t="s">
        <v>15</v>
      </c>
      <c r="F136" t="s">
        <v>67</v>
      </c>
      <c r="G136" t="s">
        <v>68</v>
      </c>
      <c r="H136">
        <v>8</v>
      </c>
      <c r="I136">
        <v>38.28</v>
      </c>
      <c r="J136" t="s">
        <v>69</v>
      </c>
      <c r="K136" t="s">
        <v>70</v>
      </c>
      <c r="L136" t="s">
        <v>71</v>
      </c>
      <c r="M136" t="s">
        <v>72</v>
      </c>
      <c r="N136">
        <v>0.01</v>
      </c>
      <c r="O136">
        <v>1.0000000000000009E-2</v>
      </c>
      <c r="P136">
        <v>8</v>
      </c>
      <c r="Q136">
        <v>0</v>
      </c>
    </row>
    <row r="137" spans="1:17" x14ac:dyDescent="0.2">
      <c r="A137" t="s">
        <v>249</v>
      </c>
      <c r="B137" t="s">
        <v>250</v>
      </c>
      <c r="C137" t="s">
        <v>251</v>
      </c>
      <c r="D137" s="8">
        <v>43564</v>
      </c>
      <c r="E137" t="s">
        <v>97</v>
      </c>
      <c r="F137" t="s">
        <v>67</v>
      </c>
      <c r="G137" t="s">
        <v>68</v>
      </c>
      <c r="H137">
        <v>1</v>
      </c>
      <c r="I137">
        <v>67.27</v>
      </c>
      <c r="J137" t="s">
        <v>69</v>
      </c>
      <c r="K137" t="s">
        <v>70</v>
      </c>
      <c r="L137" t="s">
        <v>71</v>
      </c>
      <c r="M137" t="s">
        <v>72</v>
      </c>
      <c r="N137">
        <v>1</v>
      </c>
      <c r="O137">
        <v>0</v>
      </c>
      <c r="P137">
        <v>0</v>
      </c>
      <c r="Q137">
        <v>1</v>
      </c>
    </row>
    <row r="138" spans="1:17" x14ac:dyDescent="0.2">
      <c r="A138" t="s">
        <v>249</v>
      </c>
      <c r="B138" t="s">
        <v>250</v>
      </c>
      <c r="C138" t="s">
        <v>251</v>
      </c>
      <c r="D138" s="8">
        <v>12613402</v>
      </c>
      <c r="E138" t="s">
        <v>73</v>
      </c>
      <c r="F138" t="s">
        <v>67</v>
      </c>
      <c r="G138" t="s">
        <v>68</v>
      </c>
      <c r="H138">
        <v>6</v>
      </c>
      <c r="I138">
        <v>18.32</v>
      </c>
      <c r="J138" t="s">
        <v>69</v>
      </c>
      <c r="K138" t="s">
        <v>70</v>
      </c>
      <c r="L138" t="s">
        <v>71</v>
      </c>
      <c r="M138" t="s">
        <v>72</v>
      </c>
      <c r="N138">
        <v>0.01</v>
      </c>
      <c r="O138">
        <v>1.0000000000000009E-2</v>
      </c>
      <c r="P138">
        <v>6</v>
      </c>
      <c r="Q138">
        <v>0</v>
      </c>
    </row>
    <row r="139" spans="1:17" x14ac:dyDescent="0.2">
      <c r="A139" t="s">
        <v>249</v>
      </c>
      <c r="B139" t="s">
        <v>250</v>
      </c>
      <c r="C139" t="s">
        <v>251</v>
      </c>
      <c r="D139" s="8">
        <v>12605969</v>
      </c>
      <c r="E139" t="s">
        <v>66</v>
      </c>
      <c r="F139" t="s">
        <v>67</v>
      </c>
      <c r="G139" t="s">
        <v>68</v>
      </c>
      <c r="H139">
        <v>2</v>
      </c>
      <c r="I139">
        <v>37.5</v>
      </c>
      <c r="J139" t="s">
        <v>69</v>
      </c>
      <c r="K139" t="s">
        <v>70</v>
      </c>
      <c r="L139" t="s">
        <v>71</v>
      </c>
      <c r="M139" t="s">
        <v>72</v>
      </c>
      <c r="N139">
        <v>0.01</v>
      </c>
      <c r="O139">
        <v>1.0000000000000009E-2</v>
      </c>
      <c r="P139">
        <v>2</v>
      </c>
      <c r="Q139">
        <v>0</v>
      </c>
    </row>
    <row r="140" spans="1:17" x14ac:dyDescent="0.2">
      <c r="A140" t="s">
        <v>249</v>
      </c>
      <c r="B140" t="s">
        <v>250</v>
      </c>
      <c r="C140" t="s">
        <v>251</v>
      </c>
      <c r="D140" s="8">
        <v>12436421</v>
      </c>
      <c r="E140" t="s">
        <v>6</v>
      </c>
      <c r="F140" t="s">
        <v>67</v>
      </c>
      <c r="G140" t="s">
        <v>68</v>
      </c>
      <c r="H140">
        <v>4</v>
      </c>
      <c r="I140">
        <v>42.99</v>
      </c>
      <c r="J140" t="s">
        <v>69</v>
      </c>
      <c r="K140" t="s">
        <v>70</v>
      </c>
      <c r="L140" t="s">
        <v>71</v>
      </c>
      <c r="M140" t="s">
        <v>72</v>
      </c>
      <c r="N140">
        <v>0.02</v>
      </c>
      <c r="O140">
        <v>2.0000000000000018E-2</v>
      </c>
      <c r="P140">
        <v>4</v>
      </c>
      <c r="Q140">
        <v>0</v>
      </c>
    </row>
    <row r="141" spans="1:17" x14ac:dyDescent="0.2">
      <c r="A141" t="s">
        <v>249</v>
      </c>
      <c r="B141" t="s">
        <v>250</v>
      </c>
      <c r="C141" t="s">
        <v>251</v>
      </c>
      <c r="D141" s="8">
        <v>12604377</v>
      </c>
      <c r="E141" t="s">
        <v>93</v>
      </c>
      <c r="F141" t="s">
        <v>67</v>
      </c>
      <c r="G141" t="s">
        <v>68</v>
      </c>
      <c r="H141">
        <v>5</v>
      </c>
      <c r="I141">
        <v>67.27</v>
      </c>
      <c r="J141" t="s">
        <v>69</v>
      </c>
      <c r="K141" t="s">
        <v>70</v>
      </c>
      <c r="L141" t="s">
        <v>71</v>
      </c>
      <c r="M141" t="s">
        <v>72</v>
      </c>
      <c r="N141">
        <v>0.03</v>
      </c>
      <c r="O141">
        <v>3.0000000000000027E-2</v>
      </c>
      <c r="P141">
        <v>5</v>
      </c>
      <c r="Q141">
        <v>0</v>
      </c>
    </row>
    <row r="142" spans="1:17" x14ac:dyDescent="0.2">
      <c r="A142" t="s">
        <v>249</v>
      </c>
      <c r="B142" t="s">
        <v>250</v>
      </c>
      <c r="C142" t="s">
        <v>251</v>
      </c>
      <c r="D142" s="8">
        <v>12560070</v>
      </c>
      <c r="E142" t="s">
        <v>15</v>
      </c>
      <c r="F142" t="s">
        <v>67</v>
      </c>
      <c r="G142" t="s">
        <v>68</v>
      </c>
      <c r="H142">
        <v>8</v>
      </c>
      <c r="I142">
        <v>38.28</v>
      </c>
      <c r="J142" t="s">
        <v>69</v>
      </c>
      <c r="K142" t="s">
        <v>70</v>
      </c>
      <c r="L142" t="s">
        <v>71</v>
      </c>
      <c r="M142" t="s">
        <v>72</v>
      </c>
      <c r="N142">
        <v>0.01</v>
      </c>
      <c r="O142">
        <v>1.0000000000000009E-2</v>
      </c>
      <c r="P142">
        <v>8</v>
      </c>
      <c r="Q142">
        <v>0</v>
      </c>
    </row>
    <row r="143" spans="1:17" x14ac:dyDescent="0.2">
      <c r="A143" t="s">
        <v>252</v>
      </c>
      <c r="B143" t="s">
        <v>253</v>
      </c>
      <c r="C143" t="s">
        <v>254</v>
      </c>
      <c r="D143" s="8">
        <v>43564</v>
      </c>
      <c r="E143" t="s">
        <v>97</v>
      </c>
      <c r="F143" t="s">
        <v>67</v>
      </c>
      <c r="G143" t="s">
        <v>68</v>
      </c>
      <c r="H143">
        <v>1</v>
      </c>
      <c r="I143">
        <v>67.27</v>
      </c>
      <c r="J143" t="s">
        <v>69</v>
      </c>
      <c r="K143" t="s">
        <v>70</v>
      </c>
      <c r="L143" t="s">
        <v>71</v>
      </c>
      <c r="M143" t="s">
        <v>72</v>
      </c>
      <c r="N143">
        <v>1</v>
      </c>
      <c r="O143">
        <v>0</v>
      </c>
      <c r="P143">
        <v>0</v>
      </c>
      <c r="Q143">
        <v>1</v>
      </c>
    </row>
    <row r="144" spans="1:17" x14ac:dyDescent="0.2">
      <c r="A144" t="s">
        <v>252</v>
      </c>
      <c r="B144" t="s">
        <v>253</v>
      </c>
      <c r="C144" t="s">
        <v>254</v>
      </c>
      <c r="D144" s="8">
        <v>12613402</v>
      </c>
      <c r="E144" t="s">
        <v>73</v>
      </c>
      <c r="F144" t="s">
        <v>67</v>
      </c>
      <c r="G144" t="s">
        <v>68</v>
      </c>
      <c r="H144">
        <v>6</v>
      </c>
      <c r="I144">
        <v>18.32</v>
      </c>
      <c r="J144" t="s">
        <v>69</v>
      </c>
      <c r="K144" t="s">
        <v>70</v>
      </c>
      <c r="L144" t="s">
        <v>71</v>
      </c>
      <c r="M144" t="s">
        <v>72</v>
      </c>
      <c r="N144">
        <v>0.01</v>
      </c>
      <c r="O144">
        <v>1.0000000000000009E-2</v>
      </c>
      <c r="P144">
        <v>6</v>
      </c>
      <c r="Q144">
        <v>0</v>
      </c>
    </row>
    <row r="145" spans="1:17" x14ac:dyDescent="0.2">
      <c r="A145" t="s">
        <v>252</v>
      </c>
      <c r="B145" t="s">
        <v>253</v>
      </c>
      <c r="C145" t="s">
        <v>254</v>
      </c>
      <c r="D145" s="8">
        <v>12605969</v>
      </c>
      <c r="E145" t="s">
        <v>66</v>
      </c>
      <c r="F145" t="s">
        <v>67</v>
      </c>
      <c r="G145" t="s">
        <v>68</v>
      </c>
      <c r="H145">
        <v>2</v>
      </c>
      <c r="I145">
        <v>37.5</v>
      </c>
      <c r="J145" t="s">
        <v>69</v>
      </c>
      <c r="K145" t="s">
        <v>70</v>
      </c>
      <c r="L145" t="s">
        <v>71</v>
      </c>
      <c r="M145" t="s">
        <v>72</v>
      </c>
      <c r="N145">
        <v>0.01</v>
      </c>
      <c r="O145">
        <v>1.0000000000000009E-2</v>
      </c>
      <c r="P145">
        <v>2</v>
      </c>
      <c r="Q145">
        <v>0</v>
      </c>
    </row>
    <row r="146" spans="1:17" x14ac:dyDescent="0.2">
      <c r="A146" t="s">
        <v>252</v>
      </c>
      <c r="B146" t="s">
        <v>253</v>
      </c>
      <c r="C146" t="s">
        <v>254</v>
      </c>
      <c r="D146" s="8">
        <v>12436421</v>
      </c>
      <c r="E146" t="s">
        <v>6</v>
      </c>
      <c r="F146" t="s">
        <v>67</v>
      </c>
      <c r="G146" t="s">
        <v>68</v>
      </c>
      <c r="H146">
        <v>4</v>
      </c>
      <c r="I146">
        <v>42.99</v>
      </c>
      <c r="J146" t="s">
        <v>69</v>
      </c>
      <c r="K146" t="s">
        <v>70</v>
      </c>
      <c r="L146" t="s">
        <v>71</v>
      </c>
      <c r="M146" t="s">
        <v>72</v>
      </c>
      <c r="N146">
        <v>0.02</v>
      </c>
      <c r="O146">
        <v>2.0000000000000018E-2</v>
      </c>
      <c r="P146">
        <v>4</v>
      </c>
      <c r="Q146">
        <v>0</v>
      </c>
    </row>
    <row r="147" spans="1:17" x14ac:dyDescent="0.2">
      <c r="A147" t="s">
        <v>252</v>
      </c>
      <c r="B147" t="s">
        <v>253</v>
      </c>
      <c r="C147" t="s">
        <v>254</v>
      </c>
      <c r="D147" s="8">
        <v>12604377</v>
      </c>
      <c r="E147" t="s">
        <v>93</v>
      </c>
      <c r="F147" t="s">
        <v>67</v>
      </c>
      <c r="G147" t="s">
        <v>68</v>
      </c>
      <c r="H147">
        <v>5</v>
      </c>
      <c r="I147">
        <v>67.27</v>
      </c>
      <c r="J147" t="s">
        <v>69</v>
      </c>
      <c r="K147" t="s">
        <v>70</v>
      </c>
      <c r="L147" t="s">
        <v>71</v>
      </c>
      <c r="M147" t="s">
        <v>72</v>
      </c>
      <c r="N147">
        <v>0.03</v>
      </c>
      <c r="O147">
        <v>3.0000000000000027E-2</v>
      </c>
      <c r="P147">
        <v>5</v>
      </c>
      <c r="Q147">
        <v>0</v>
      </c>
    </row>
    <row r="148" spans="1:17" x14ac:dyDescent="0.2">
      <c r="A148" t="s">
        <v>252</v>
      </c>
      <c r="B148" t="s">
        <v>253</v>
      </c>
      <c r="C148" t="s">
        <v>254</v>
      </c>
      <c r="D148" s="8">
        <v>12560070</v>
      </c>
      <c r="E148" t="s">
        <v>15</v>
      </c>
      <c r="F148" t="s">
        <v>67</v>
      </c>
      <c r="G148" t="s">
        <v>68</v>
      </c>
      <c r="H148">
        <v>8</v>
      </c>
      <c r="I148">
        <v>38.28</v>
      </c>
      <c r="J148" t="s">
        <v>69</v>
      </c>
      <c r="K148" t="s">
        <v>70</v>
      </c>
      <c r="L148" t="s">
        <v>71</v>
      </c>
      <c r="M148" t="s">
        <v>72</v>
      </c>
      <c r="N148">
        <v>0.01</v>
      </c>
      <c r="O148">
        <v>1.0000000000000009E-2</v>
      </c>
      <c r="P148">
        <v>8</v>
      </c>
      <c r="Q148">
        <v>0</v>
      </c>
    </row>
    <row r="149" spans="1:17" x14ac:dyDescent="0.2">
      <c r="A149" t="s">
        <v>255</v>
      </c>
      <c r="B149" t="s">
        <v>256</v>
      </c>
      <c r="C149" t="s">
        <v>257</v>
      </c>
      <c r="D149" s="8">
        <v>43564</v>
      </c>
      <c r="E149" t="s">
        <v>97</v>
      </c>
      <c r="F149" t="s">
        <v>67</v>
      </c>
      <c r="G149" t="s">
        <v>68</v>
      </c>
      <c r="H149">
        <v>1</v>
      </c>
      <c r="I149">
        <v>67.27</v>
      </c>
      <c r="J149" t="s">
        <v>69</v>
      </c>
      <c r="K149" t="s">
        <v>70</v>
      </c>
      <c r="L149" t="s">
        <v>71</v>
      </c>
      <c r="M149" t="s">
        <v>72</v>
      </c>
      <c r="N149">
        <v>1</v>
      </c>
      <c r="O149">
        <v>0</v>
      </c>
      <c r="P149">
        <v>0</v>
      </c>
      <c r="Q149">
        <v>1</v>
      </c>
    </row>
    <row r="150" spans="1:17" x14ac:dyDescent="0.2">
      <c r="A150" t="s">
        <v>255</v>
      </c>
      <c r="B150" t="s">
        <v>256</v>
      </c>
      <c r="C150" t="s">
        <v>257</v>
      </c>
      <c r="D150" s="8">
        <v>12613402</v>
      </c>
      <c r="E150" t="s">
        <v>73</v>
      </c>
      <c r="F150" t="s">
        <v>67</v>
      </c>
      <c r="G150" t="s">
        <v>68</v>
      </c>
      <c r="H150">
        <v>6</v>
      </c>
      <c r="I150">
        <v>18.32</v>
      </c>
      <c r="J150" t="s">
        <v>69</v>
      </c>
      <c r="K150" t="s">
        <v>70</v>
      </c>
      <c r="L150" t="s">
        <v>71</v>
      </c>
      <c r="M150" t="s">
        <v>72</v>
      </c>
      <c r="N150">
        <v>0.01</v>
      </c>
      <c r="O150">
        <v>1.0000000000000009E-2</v>
      </c>
      <c r="P150">
        <v>6</v>
      </c>
      <c r="Q150">
        <v>0</v>
      </c>
    </row>
    <row r="151" spans="1:17" x14ac:dyDescent="0.2">
      <c r="A151" t="s">
        <v>255</v>
      </c>
      <c r="B151" t="s">
        <v>256</v>
      </c>
      <c r="C151" t="s">
        <v>257</v>
      </c>
      <c r="D151" s="8">
        <v>12605969</v>
      </c>
      <c r="E151" t="s">
        <v>66</v>
      </c>
      <c r="F151" t="s">
        <v>67</v>
      </c>
      <c r="G151" t="s">
        <v>68</v>
      </c>
      <c r="H151">
        <v>2</v>
      </c>
      <c r="I151">
        <v>37.5</v>
      </c>
      <c r="J151" t="s">
        <v>69</v>
      </c>
      <c r="K151" t="s">
        <v>70</v>
      </c>
      <c r="L151" t="s">
        <v>71</v>
      </c>
      <c r="M151" t="s">
        <v>72</v>
      </c>
      <c r="N151">
        <v>0.01</v>
      </c>
      <c r="O151">
        <v>1.0000000000000009E-2</v>
      </c>
      <c r="P151">
        <v>2</v>
      </c>
      <c r="Q151">
        <v>0</v>
      </c>
    </row>
    <row r="152" spans="1:17" x14ac:dyDescent="0.2">
      <c r="A152" t="s">
        <v>255</v>
      </c>
      <c r="B152" t="s">
        <v>256</v>
      </c>
      <c r="C152" t="s">
        <v>257</v>
      </c>
      <c r="D152" s="8">
        <v>12436421</v>
      </c>
      <c r="E152" t="s">
        <v>6</v>
      </c>
      <c r="F152" t="s">
        <v>67</v>
      </c>
      <c r="G152" t="s">
        <v>68</v>
      </c>
      <c r="H152">
        <v>4</v>
      </c>
      <c r="I152">
        <v>42.99</v>
      </c>
      <c r="J152" t="s">
        <v>69</v>
      </c>
      <c r="K152" t="s">
        <v>70</v>
      </c>
      <c r="L152" t="s">
        <v>71</v>
      </c>
      <c r="M152" t="s">
        <v>72</v>
      </c>
      <c r="N152">
        <v>0.02</v>
      </c>
      <c r="O152">
        <v>2.0000000000000018E-2</v>
      </c>
      <c r="P152">
        <v>4</v>
      </c>
      <c r="Q152">
        <v>0</v>
      </c>
    </row>
    <row r="153" spans="1:17" x14ac:dyDescent="0.2">
      <c r="A153" t="s">
        <v>255</v>
      </c>
      <c r="B153" t="s">
        <v>256</v>
      </c>
      <c r="C153" t="s">
        <v>257</v>
      </c>
      <c r="D153" s="8">
        <v>12604377</v>
      </c>
      <c r="E153" t="s">
        <v>93</v>
      </c>
      <c r="F153" t="s">
        <v>67</v>
      </c>
      <c r="G153" t="s">
        <v>68</v>
      </c>
      <c r="H153">
        <v>5</v>
      </c>
      <c r="I153">
        <v>67.27</v>
      </c>
      <c r="J153" t="s">
        <v>69</v>
      </c>
      <c r="K153" t="s">
        <v>70</v>
      </c>
      <c r="L153" t="s">
        <v>71</v>
      </c>
      <c r="M153" t="s">
        <v>72</v>
      </c>
      <c r="N153">
        <v>0.03</v>
      </c>
      <c r="O153">
        <v>3.0000000000000027E-2</v>
      </c>
      <c r="P153">
        <v>5</v>
      </c>
      <c r="Q153">
        <v>0</v>
      </c>
    </row>
    <row r="154" spans="1:17" x14ac:dyDescent="0.2">
      <c r="A154" t="s">
        <v>255</v>
      </c>
      <c r="B154" t="s">
        <v>256</v>
      </c>
      <c r="C154" t="s">
        <v>257</v>
      </c>
      <c r="D154" s="8">
        <v>12560070</v>
      </c>
      <c r="E154" t="s">
        <v>15</v>
      </c>
      <c r="F154" t="s">
        <v>67</v>
      </c>
      <c r="G154" t="s">
        <v>68</v>
      </c>
      <c r="H154">
        <v>8</v>
      </c>
      <c r="I154">
        <v>38.28</v>
      </c>
      <c r="J154" t="s">
        <v>69</v>
      </c>
      <c r="K154" t="s">
        <v>70</v>
      </c>
      <c r="L154" t="s">
        <v>71</v>
      </c>
      <c r="M154" t="s">
        <v>72</v>
      </c>
      <c r="N154">
        <v>0.01</v>
      </c>
      <c r="O154">
        <v>1.0000000000000009E-2</v>
      </c>
      <c r="P154">
        <v>8</v>
      </c>
      <c r="Q154">
        <v>0</v>
      </c>
    </row>
    <row r="155" spans="1:17" x14ac:dyDescent="0.2">
      <c r="A155" t="s">
        <v>258</v>
      </c>
      <c r="B155" t="s">
        <v>259</v>
      </c>
      <c r="C155" t="s">
        <v>260</v>
      </c>
      <c r="D155" s="8">
        <v>43564</v>
      </c>
      <c r="E155" t="s">
        <v>97</v>
      </c>
      <c r="F155" t="s">
        <v>67</v>
      </c>
      <c r="G155" t="s">
        <v>68</v>
      </c>
      <c r="H155">
        <v>1</v>
      </c>
      <c r="I155">
        <v>67.27</v>
      </c>
      <c r="J155" t="s">
        <v>69</v>
      </c>
      <c r="K155" t="s">
        <v>70</v>
      </c>
      <c r="L155" t="s">
        <v>71</v>
      </c>
      <c r="M155" t="s">
        <v>72</v>
      </c>
      <c r="N155">
        <v>1</v>
      </c>
      <c r="O155">
        <v>0</v>
      </c>
      <c r="P155">
        <v>0</v>
      </c>
      <c r="Q155">
        <v>1</v>
      </c>
    </row>
    <row r="156" spans="1:17" x14ac:dyDescent="0.2">
      <c r="A156" t="s">
        <v>258</v>
      </c>
      <c r="B156" t="s">
        <v>259</v>
      </c>
      <c r="C156" t="s">
        <v>260</v>
      </c>
      <c r="D156" s="8">
        <v>12613402</v>
      </c>
      <c r="E156" t="s">
        <v>73</v>
      </c>
      <c r="F156" t="s">
        <v>67</v>
      </c>
      <c r="G156" t="s">
        <v>68</v>
      </c>
      <c r="H156">
        <v>6</v>
      </c>
      <c r="I156">
        <v>18.32</v>
      </c>
      <c r="J156" t="s">
        <v>69</v>
      </c>
      <c r="K156" t="s">
        <v>70</v>
      </c>
      <c r="L156" t="s">
        <v>71</v>
      </c>
      <c r="M156" t="s">
        <v>72</v>
      </c>
      <c r="N156">
        <v>0.01</v>
      </c>
      <c r="O156">
        <v>1.0000000000000009E-2</v>
      </c>
      <c r="P156">
        <v>6</v>
      </c>
      <c r="Q156">
        <v>0</v>
      </c>
    </row>
    <row r="157" spans="1:17" x14ac:dyDescent="0.2">
      <c r="A157" t="s">
        <v>258</v>
      </c>
      <c r="B157" t="s">
        <v>259</v>
      </c>
      <c r="C157" t="s">
        <v>260</v>
      </c>
      <c r="D157" s="8">
        <v>12605994</v>
      </c>
      <c r="E157" t="s">
        <v>85</v>
      </c>
      <c r="F157" t="s">
        <v>67</v>
      </c>
      <c r="G157" t="s">
        <v>68</v>
      </c>
      <c r="H157">
        <v>2</v>
      </c>
      <c r="I157">
        <v>37.5</v>
      </c>
      <c r="J157" t="s">
        <v>69</v>
      </c>
      <c r="K157" t="s">
        <v>70</v>
      </c>
      <c r="L157" t="s">
        <v>71</v>
      </c>
      <c r="M157" t="s">
        <v>72</v>
      </c>
      <c r="N157">
        <v>0.01</v>
      </c>
      <c r="O157">
        <v>1.0000000000000009E-2</v>
      </c>
      <c r="P157">
        <v>2</v>
      </c>
      <c r="Q157">
        <v>0</v>
      </c>
    </row>
    <row r="158" spans="1:17" x14ac:dyDescent="0.2">
      <c r="A158" t="s">
        <v>258</v>
      </c>
      <c r="B158" t="s">
        <v>259</v>
      </c>
      <c r="C158" t="s">
        <v>260</v>
      </c>
      <c r="D158" s="8">
        <v>12436421</v>
      </c>
      <c r="E158" t="s">
        <v>6</v>
      </c>
      <c r="F158" t="s">
        <v>67</v>
      </c>
      <c r="G158" t="s">
        <v>68</v>
      </c>
      <c r="H158">
        <v>4</v>
      </c>
      <c r="I158">
        <v>42.99</v>
      </c>
      <c r="J158" t="s">
        <v>69</v>
      </c>
      <c r="K158" t="s">
        <v>70</v>
      </c>
      <c r="L158" t="s">
        <v>71</v>
      </c>
      <c r="M158" t="s">
        <v>72</v>
      </c>
      <c r="N158">
        <v>0.02</v>
      </c>
      <c r="O158">
        <v>2.0000000000000018E-2</v>
      </c>
      <c r="P158">
        <v>4</v>
      </c>
      <c r="Q158">
        <v>0</v>
      </c>
    </row>
    <row r="159" spans="1:17" x14ac:dyDescent="0.2">
      <c r="A159" t="s">
        <v>258</v>
      </c>
      <c r="B159" t="s">
        <v>259</v>
      </c>
      <c r="C159" t="s">
        <v>260</v>
      </c>
      <c r="D159" s="8">
        <v>12604377</v>
      </c>
      <c r="E159" t="s">
        <v>93</v>
      </c>
      <c r="F159" t="s">
        <v>67</v>
      </c>
      <c r="G159" t="s">
        <v>68</v>
      </c>
      <c r="H159">
        <v>5</v>
      </c>
      <c r="I159">
        <v>67.27</v>
      </c>
      <c r="J159" t="s">
        <v>69</v>
      </c>
      <c r="K159" t="s">
        <v>70</v>
      </c>
      <c r="L159" t="s">
        <v>71</v>
      </c>
      <c r="M159" t="s">
        <v>72</v>
      </c>
      <c r="N159">
        <v>0.03</v>
      </c>
      <c r="O159">
        <v>3.0000000000000027E-2</v>
      </c>
      <c r="P159">
        <v>5</v>
      </c>
      <c r="Q159">
        <v>0</v>
      </c>
    </row>
    <row r="160" spans="1:17" x14ac:dyDescent="0.2">
      <c r="A160" t="s">
        <v>258</v>
      </c>
      <c r="B160" t="s">
        <v>259</v>
      </c>
      <c r="C160" t="s">
        <v>260</v>
      </c>
      <c r="D160" s="8">
        <v>12560070</v>
      </c>
      <c r="E160" t="s">
        <v>15</v>
      </c>
      <c r="F160" t="s">
        <v>67</v>
      </c>
      <c r="G160" t="s">
        <v>68</v>
      </c>
      <c r="H160">
        <v>8</v>
      </c>
      <c r="I160">
        <v>38.28</v>
      </c>
      <c r="J160" t="s">
        <v>69</v>
      </c>
      <c r="K160" t="s">
        <v>70</v>
      </c>
      <c r="L160" t="s">
        <v>71</v>
      </c>
      <c r="M160" t="s">
        <v>72</v>
      </c>
      <c r="N160">
        <v>0.01</v>
      </c>
      <c r="O160">
        <v>1.0000000000000009E-2</v>
      </c>
      <c r="P160">
        <v>8</v>
      </c>
      <c r="Q160">
        <v>0</v>
      </c>
    </row>
    <row r="161" spans="1:17" x14ac:dyDescent="0.2">
      <c r="A161" t="s">
        <v>261</v>
      </c>
      <c r="B161" t="s">
        <v>262</v>
      </c>
      <c r="C161" t="s">
        <v>263</v>
      </c>
      <c r="D161" s="8">
        <v>43564</v>
      </c>
      <c r="E161" t="s">
        <v>97</v>
      </c>
      <c r="F161" t="s">
        <v>67</v>
      </c>
      <c r="G161" t="s">
        <v>68</v>
      </c>
      <c r="H161">
        <v>1</v>
      </c>
      <c r="I161">
        <v>67.27</v>
      </c>
      <c r="J161" t="s">
        <v>69</v>
      </c>
      <c r="K161" t="s">
        <v>70</v>
      </c>
      <c r="L161" t="s">
        <v>71</v>
      </c>
      <c r="M161" t="s">
        <v>72</v>
      </c>
      <c r="N161">
        <v>1</v>
      </c>
      <c r="O161">
        <v>0</v>
      </c>
      <c r="P161">
        <v>0</v>
      </c>
      <c r="Q161">
        <v>1</v>
      </c>
    </row>
    <row r="162" spans="1:17" x14ac:dyDescent="0.2">
      <c r="A162" t="s">
        <v>261</v>
      </c>
      <c r="B162" t="s">
        <v>262</v>
      </c>
      <c r="C162" t="s">
        <v>263</v>
      </c>
      <c r="D162" s="8">
        <v>12613402</v>
      </c>
      <c r="E162" t="s">
        <v>73</v>
      </c>
      <c r="F162" t="s">
        <v>67</v>
      </c>
      <c r="G162" t="s">
        <v>68</v>
      </c>
      <c r="H162">
        <v>6</v>
      </c>
      <c r="I162">
        <v>18.32</v>
      </c>
      <c r="J162" t="s">
        <v>69</v>
      </c>
      <c r="K162" t="s">
        <v>70</v>
      </c>
      <c r="L162" t="s">
        <v>71</v>
      </c>
      <c r="M162" t="s">
        <v>72</v>
      </c>
      <c r="N162">
        <v>0.01</v>
      </c>
      <c r="O162">
        <v>1.0000000000000009E-2</v>
      </c>
      <c r="P162">
        <v>6</v>
      </c>
      <c r="Q162">
        <v>0</v>
      </c>
    </row>
    <row r="163" spans="1:17" x14ac:dyDescent="0.2">
      <c r="A163" t="s">
        <v>261</v>
      </c>
      <c r="B163" t="s">
        <v>262</v>
      </c>
      <c r="C163" t="s">
        <v>263</v>
      </c>
      <c r="D163" s="8">
        <v>12605969</v>
      </c>
      <c r="E163" t="s">
        <v>66</v>
      </c>
      <c r="F163" t="s">
        <v>67</v>
      </c>
      <c r="G163" t="s">
        <v>68</v>
      </c>
      <c r="H163">
        <v>2</v>
      </c>
      <c r="I163">
        <v>37.5</v>
      </c>
      <c r="J163" t="s">
        <v>69</v>
      </c>
      <c r="K163" t="s">
        <v>70</v>
      </c>
      <c r="L163" t="s">
        <v>71</v>
      </c>
      <c r="M163" t="s">
        <v>72</v>
      </c>
      <c r="N163">
        <v>0.01</v>
      </c>
      <c r="O163">
        <v>1.0000000000000009E-2</v>
      </c>
      <c r="P163">
        <v>2</v>
      </c>
      <c r="Q163">
        <v>0</v>
      </c>
    </row>
    <row r="164" spans="1:17" x14ac:dyDescent="0.2">
      <c r="A164" t="s">
        <v>261</v>
      </c>
      <c r="B164" t="s">
        <v>262</v>
      </c>
      <c r="C164" t="s">
        <v>263</v>
      </c>
      <c r="D164" s="8">
        <v>12436421</v>
      </c>
      <c r="E164" t="s">
        <v>6</v>
      </c>
      <c r="F164" t="s">
        <v>67</v>
      </c>
      <c r="G164" t="s">
        <v>68</v>
      </c>
      <c r="H164">
        <v>4</v>
      </c>
      <c r="I164">
        <v>42.99</v>
      </c>
      <c r="J164" t="s">
        <v>69</v>
      </c>
      <c r="K164" t="s">
        <v>70</v>
      </c>
      <c r="L164" t="s">
        <v>71</v>
      </c>
      <c r="M164" t="s">
        <v>72</v>
      </c>
      <c r="N164">
        <v>0.02</v>
      </c>
      <c r="O164">
        <v>2.0000000000000018E-2</v>
      </c>
      <c r="P164">
        <v>4</v>
      </c>
      <c r="Q164">
        <v>0</v>
      </c>
    </row>
    <row r="165" spans="1:17" x14ac:dyDescent="0.2">
      <c r="A165" t="s">
        <v>261</v>
      </c>
      <c r="B165" t="s">
        <v>262</v>
      </c>
      <c r="C165" t="s">
        <v>263</v>
      </c>
      <c r="D165" s="8">
        <v>12604377</v>
      </c>
      <c r="E165" t="s">
        <v>93</v>
      </c>
      <c r="F165" t="s">
        <v>67</v>
      </c>
      <c r="G165" t="s">
        <v>68</v>
      </c>
      <c r="H165">
        <v>5</v>
      </c>
      <c r="I165">
        <v>67.27</v>
      </c>
      <c r="J165" t="s">
        <v>69</v>
      </c>
      <c r="K165" t="s">
        <v>70</v>
      </c>
      <c r="L165" t="s">
        <v>71</v>
      </c>
      <c r="M165" t="s">
        <v>72</v>
      </c>
      <c r="N165">
        <v>0.03</v>
      </c>
      <c r="O165">
        <v>3.0000000000000027E-2</v>
      </c>
      <c r="P165">
        <v>5</v>
      </c>
      <c r="Q165">
        <v>0</v>
      </c>
    </row>
    <row r="166" spans="1:17" x14ac:dyDescent="0.2">
      <c r="A166" t="s">
        <v>261</v>
      </c>
      <c r="B166" t="s">
        <v>262</v>
      </c>
      <c r="C166" t="s">
        <v>263</v>
      </c>
      <c r="D166" s="8">
        <v>12560070</v>
      </c>
      <c r="E166" t="s">
        <v>15</v>
      </c>
      <c r="F166" t="s">
        <v>67</v>
      </c>
      <c r="G166" t="s">
        <v>68</v>
      </c>
      <c r="H166">
        <v>8</v>
      </c>
      <c r="I166">
        <v>38.28</v>
      </c>
      <c r="J166" t="s">
        <v>69</v>
      </c>
      <c r="K166" t="s">
        <v>70</v>
      </c>
      <c r="L166" t="s">
        <v>71</v>
      </c>
      <c r="M166" t="s">
        <v>72</v>
      </c>
      <c r="N166">
        <v>0.01</v>
      </c>
      <c r="O166">
        <v>1.0000000000000009E-2</v>
      </c>
      <c r="P166">
        <v>8</v>
      </c>
      <c r="Q166">
        <v>0</v>
      </c>
    </row>
    <row r="167" spans="1:17" x14ac:dyDescent="0.2">
      <c r="A167" t="s">
        <v>264</v>
      </c>
      <c r="B167" t="s">
        <v>265</v>
      </c>
      <c r="C167" t="s">
        <v>266</v>
      </c>
      <c r="D167" s="8">
        <v>12436421</v>
      </c>
      <c r="E167" t="s">
        <v>6</v>
      </c>
      <c r="F167" t="s">
        <v>67</v>
      </c>
      <c r="G167" t="s">
        <v>68</v>
      </c>
      <c r="H167">
        <v>8</v>
      </c>
      <c r="I167">
        <v>85.97</v>
      </c>
      <c r="J167" t="s">
        <v>69</v>
      </c>
      <c r="K167" t="s">
        <v>70</v>
      </c>
      <c r="L167" t="s">
        <v>71</v>
      </c>
      <c r="M167" t="s">
        <v>72</v>
      </c>
      <c r="N167">
        <v>0.04</v>
      </c>
      <c r="O167">
        <v>4.0000000000000036E-2</v>
      </c>
      <c r="P167">
        <v>8</v>
      </c>
      <c r="Q167">
        <v>0</v>
      </c>
    </row>
    <row r="168" spans="1:17" x14ac:dyDescent="0.2">
      <c r="A168" t="s">
        <v>267</v>
      </c>
      <c r="B168" t="s">
        <v>268</v>
      </c>
      <c r="C168" t="s">
        <v>269</v>
      </c>
      <c r="D168" s="8">
        <v>43564</v>
      </c>
      <c r="E168" t="s">
        <v>97</v>
      </c>
      <c r="F168" t="s">
        <v>67</v>
      </c>
      <c r="G168" t="s">
        <v>68</v>
      </c>
      <c r="H168">
        <v>1</v>
      </c>
      <c r="I168">
        <v>67.27</v>
      </c>
      <c r="J168" t="s">
        <v>69</v>
      </c>
      <c r="K168" t="s">
        <v>70</v>
      </c>
      <c r="L168" t="s">
        <v>71</v>
      </c>
      <c r="M168" t="s">
        <v>72</v>
      </c>
      <c r="N168">
        <v>1</v>
      </c>
      <c r="O168">
        <v>0</v>
      </c>
      <c r="P168">
        <v>0</v>
      </c>
      <c r="Q168">
        <v>1</v>
      </c>
    </row>
    <row r="169" spans="1:17" x14ac:dyDescent="0.2">
      <c r="A169" t="s">
        <v>267</v>
      </c>
      <c r="B169" t="s">
        <v>268</v>
      </c>
      <c r="C169" t="s">
        <v>269</v>
      </c>
      <c r="D169" s="8">
        <v>12613402</v>
      </c>
      <c r="E169" t="s">
        <v>73</v>
      </c>
      <c r="F169" t="s">
        <v>67</v>
      </c>
      <c r="G169" t="s">
        <v>68</v>
      </c>
      <c r="H169">
        <v>6</v>
      </c>
      <c r="I169">
        <v>18.32</v>
      </c>
      <c r="J169" t="s">
        <v>69</v>
      </c>
      <c r="K169" t="s">
        <v>70</v>
      </c>
      <c r="L169" t="s">
        <v>71</v>
      </c>
      <c r="M169" t="s">
        <v>72</v>
      </c>
      <c r="N169">
        <v>0.01</v>
      </c>
      <c r="O169">
        <v>1.0000000000000009E-2</v>
      </c>
      <c r="P169">
        <v>6</v>
      </c>
      <c r="Q169">
        <v>0</v>
      </c>
    </row>
    <row r="170" spans="1:17" x14ac:dyDescent="0.2">
      <c r="A170" t="s">
        <v>267</v>
      </c>
      <c r="B170" t="s">
        <v>268</v>
      </c>
      <c r="C170" t="s">
        <v>269</v>
      </c>
      <c r="D170" s="8">
        <v>12605994</v>
      </c>
      <c r="E170" t="s">
        <v>85</v>
      </c>
      <c r="F170" t="s">
        <v>67</v>
      </c>
      <c r="G170" t="s">
        <v>68</v>
      </c>
      <c r="H170">
        <v>2</v>
      </c>
      <c r="I170">
        <v>37.5</v>
      </c>
      <c r="J170" t="s">
        <v>69</v>
      </c>
      <c r="K170" t="s">
        <v>70</v>
      </c>
      <c r="L170" t="s">
        <v>71</v>
      </c>
      <c r="M170" t="s">
        <v>72</v>
      </c>
      <c r="N170">
        <v>0.01</v>
      </c>
      <c r="O170">
        <v>1.0000000000000009E-2</v>
      </c>
      <c r="P170">
        <v>2</v>
      </c>
      <c r="Q170">
        <v>0</v>
      </c>
    </row>
    <row r="171" spans="1:17" x14ac:dyDescent="0.2">
      <c r="A171" t="s">
        <v>267</v>
      </c>
      <c r="B171" t="s">
        <v>268</v>
      </c>
      <c r="C171" t="s">
        <v>269</v>
      </c>
      <c r="D171" s="8">
        <v>12436421</v>
      </c>
      <c r="E171" t="s">
        <v>6</v>
      </c>
      <c r="F171" t="s">
        <v>67</v>
      </c>
      <c r="G171" t="s">
        <v>68</v>
      </c>
      <c r="H171">
        <v>4</v>
      </c>
      <c r="I171">
        <v>42.99</v>
      </c>
      <c r="J171" t="s">
        <v>69</v>
      </c>
      <c r="K171" t="s">
        <v>70</v>
      </c>
      <c r="L171" t="s">
        <v>71</v>
      </c>
      <c r="M171" t="s">
        <v>72</v>
      </c>
      <c r="N171">
        <v>0.02</v>
      </c>
      <c r="O171">
        <v>2.0000000000000018E-2</v>
      </c>
      <c r="P171">
        <v>4</v>
      </c>
      <c r="Q171">
        <v>0</v>
      </c>
    </row>
    <row r="172" spans="1:17" x14ac:dyDescent="0.2">
      <c r="A172" t="s">
        <v>267</v>
      </c>
      <c r="B172" t="s">
        <v>268</v>
      </c>
      <c r="C172" t="s">
        <v>269</v>
      </c>
      <c r="D172" s="8">
        <v>12604377</v>
      </c>
      <c r="E172" t="s">
        <v>93</v>
      </c>
      <c r="F172" t="s">
        <v>67</v>
      </c>
      <c r="G172" t="s">
        <v>68</v>
      </c>
      <c r="H172">
        <v>5</v>
      </c>
      <c r="I172">
        <v>67.27</v>
      </c>
      <c r="J172" t="s">
        <v>69</v>
      </c>
      <c r="K172" t="s">
        <v>70</v>
      </c>
      <c r="L172" t="s">
        <v>71</v>
      </c>
      <c r="M172" t="s">
        <v>72</v>
      </c>
      <c r="N172">
        <v>0.03</v>
      </c>
      <c r="O172">
        <v>3.0000000000000027E-2</v>
      </c>
      <c r="P172">
        <v>5</v>
      </c>
      <c r="Q172">
        <v>0</v>
      </c>
    </row>
    <row r="173" spans="1:17" x14ac:dyDescent="0.2">
      <c r="A173" t="s">
        <v>267</v>
      </c>
      <c r="B173" t="s">
        <v>268</v>
      </c>
      <c r="C173" t="s">
        <v>269</v>
      </c>
      <c r="D173" s="8">
        <v>12560070</v>
      </c>
      <c r="E173" t="s">
        <v>15</v>
      </c>
      <c r="F173" t="s">
        <v>67</v>
      </c>
      <c r="G173" t="s">
        <v>68</v>
      </c>
      <c r="H173">
        <v>8</v>
      </c>
      <c r="I173">
        <v>38.28</v>
      </c>
      <c r="J173" t="s">
        <v>69</v>
      </c>
      <c r="K173" t="s">
        <v>70</v>
      </c>
      <c r="L173" t="s">
        <v>71</v>
      </c>
      <c r="M173" t="s">
        <v>72</v>
      </c>
      <c r="N173">
        <v>0.01</v>
      </c>
      <c r="O173">
        <v>1.0000000000000009E-2</v>
      </c>
      <c r="P173">
        <v>8</v>
      </c>
      <c r="Q173">
        <v>0</v>
      </c>
    </row>
    <row r="174" spans="1:17" x14ac:dyDescent="0.2">
      <c r="A174" t="s">
        <v>270</v>
      </c>
      <c r="B174" t="s">
        <v>271</v>
      </c>
      <c r="C174" t="s">
        <v>272</v>
      </c>
      <c r="D174" s="8">
        <v>12575101</v>
      </c>
      <c r="E174" t="s">
        <v>9</v>
      </c>
      <c r="F174" t="s">
        <v>67</v>
      </c>
      <c r="G174" t="s">
        <v>68</v>
      </c>
      <c r="H174">
        <v>5</v>
      </c>
      <c r="I174">
        <v>1196.69</v>
      </c>
      <c r="J174" t="s">
        <v>69</v>
      </c>
      <c r="K174" t="s">
        <v>70</v>
      </c>
      <c r="L174" t="s">
        <v>71</v>
      </c>
      <c r="M174" t="s">
        <v>72</v>
      </c>
      <c r="N174">
        <v>0.28000000000000003</v>
      </c>
      <c r="O174">
        <v>0.28000000000000003</v>
      </c>
      <c r="P174">
        <v>5</v>
      </c>
      <c r="Q174">
        <v>0</v>
      </c>
    </row>
    <row r="175" spans="1:17" x14ac:dyDescent="0.2">
      <c r="A175" t="s">
        <v>270</v>
      </c>
      <c r="B175" t="s">
        <v>271</v>
      </c>
      <c r="C175" t="s">
        <v>272</v>
      </c>
      <c r="D175" s="8">
        <v>12436421</v>
      </c>
      <c r="E175" t="s">
        <v>6</v>
      </c>
      <c r="F175" t="s">
        <v>67</v>
      </c>
      <c r="G175" t="s">
        <v>68</v>
      </c>
      <c r="H175">
        <v>40</v>
      </c>
      <c r="I175">
        <v>429.86</v>
      </c>
      <c r="J175" t="s">
        <v>69</v>
      </c>
      <c r="K175" t="s">
        <v>70</v>
      </c>
      <c r="L175" t="s">
        <v>71</v>
      </c>
      <c r="M175" t="s">
        <v>72</v>
      </c>
      <c r="N175">
        <v>0.21</v>
      </c>
      <c r="O175">
        <v>0.20999999999999996</v>
      </c>
      <c r="P175">
        <v>40</v>
      </c>
      <c r="Q175">
        <v>0</v>
      </c>
    </row>
    <row r="176" spans="1:17" x14ac:dyDescent="0.2">
      <c r="A176" t="s">
        <v>270</v>
      </c>
      <c r="B176" t="s">
        <v>271</v>
      </c>
      <c r="C176" t="s">
        <v>272</v>
      </c>
      <c r="D176" s="8">
        <v>12603511</v>
      </c>
      <c r="E176" t="s">
        <v>273</v>
      </c>
      <c r="F176" t="s">
        <v>67</v>
      </c>
      <c r="G176" t="s">
        <v>68</v>
      </c>
      <c r="H176">
        <v>20</v>
      </c>
      <c r="I176">
        <v>163.12</v>
      </c>
      <c r="J176" t="s">
        <v>69</v>
      </c>
      <c r="K176" t="s">
        <v>70</v>
      </c>
      <c r="L176" t="s">
        <v>71</v>
      </c>
      <c r="M176" t="s">
        <v>72</v>
      </c>
      <c r="N176">
        <v>0.1</v>
      </c>
      <c r="O176">
        <v>0.10000000000000009</v>
      </c>
      <c r="P176">
        <v>20</v>
      </c>
      <c r="Q176">
        <v>0</v>
      </c>
    </row>
    <row r="177" spans="1:17" x14ac:dyDescent="0.2">
      <c r="A177" t="s">
        <v>270</v>
      </c>
      <c r="B177" t="s">
        <v>271</v>
      </c>
      <c r="C177" t="s">
        <v>272</v>
      </c>
      <c r="D177" s="8">
        <v>12623528</v>
      </c>
      <c r="E177" t="s">
        <v>274</v>
      </c>
      <c r="F177" t="s">
        <v>67</v>
      </c>
      <c r="G177" t="s">
        <v>68</v>
      </c>
      <c r="H177">
        <v>20</v>
      </c>
      <c r="I177">
        <v>281.36</v>
      </c>
      <c r="J177" t="s">
        <v>69</v>
      </c>
      <c r="K177" t="s">
        <v>70</v>
      </c>
      <c r="L177" t="s">
        <v>71</v>
      </c>
      <c r="M177" t="s">
        <v>72</v>
      </c>
      <c r="N177">
        <v>0.1</v>
      </c>
      <c r="O177">
        <v>0.10000000000000009</v>
      </c>
      <c r="P177">
        <v>20</v>
      </c>
      <c r="Q177">
        <v>0</v>
      </c>
    </row>
    <row r="178" spans="1:17" x14ac:dyDescent="0.2">
      <c r="A178" t="s">
        <v>270</v>
      </c>
      <c r="B178" t="s">
        <v>271</v>
      </c>
      <c r="C178" t="s">
        <v>272</v>
      </c>
      <c r="D178" s="8">
        <v>12575055</v>
      </c>
      <c r="E178" t="s">
        <v>10</v>
      </c>
      <c r="F178" t="s">
        <v>67</v>
      </c>
      <c r="G178" t="s">
        <v>68</v>
      </c>
      <c r="H178">
        <v>5</v>
      </c>
      <c r="I178">
        <v>598.34</v>
      </c>
      <c r="J178" t="s">
        <v>69</v>
      </c>
      <c r="K178" t="s">
        <v>70</v>
      </c>
      <c r="L178" t="s">
        <v>71</v>
      </c>
      <c r="M178" t="s">
        <v>72</v>
      </c>
      <c r="N178">
        <v>0.21</v>
      </c>
      <c r="O178">
        <v>0.20999999999999996</v>
      </c>
      <c r="P178">
        <v>5</v>
      </c>
      <c r="Q178">
        <v>0</v>
      </c>
    </row>
    <row r="179" spans="1:17" x14ac:dyDescent="0.2">
      <c r="A179" t="s">
        <v>270</v>
      </c>
      <c r="B179" t="s">
        <v>271</v>
      </c>
      <c r="C179" t="s">
        <v>272</v>
      </c>
      <c r="D179" s="8">
        <v>12454174</v>
      </c>
      <c r="E179" t="s">
        <v>40</v>
      </c>
      <c r="F179" t="s">
        <v>67</v>
      </c>
      <c r="G179" t="s">
        <v>68</v>
      </c>
      <c r="H179">
        <v>10</v>
      </c>
      <c r="I179">
        <v>234.01</v>
      </c>
      <c r="J179" t="s">
        <v>69</v>
      </c>
      <c r="K179" t="s">
        <v>70</v>
      </c>
      <c r="L179" t="s">
        <v>71</v>
      </c>
      <c r="M179" t="s">
        <v>72</v>
      </c>
      <c r="N179">
        <v>0.31</v>
      </c>
      <c r="O179">
        <v>0.31000000000000005</v>
      </c>
      <c r="P179">
        <v>10</v>
      </c>
      <c r="Q179">
        <v>0</v>
      </c>
    </row>
    <row r="180" spans="1:17" x14ac:dyDescent="0.2">
      <c r="A180" t="s">
        <v>270</v>
      </c>
      <c r="B180" t="s">
        <v>271</v>
      </c>
      <c r="C180" t="s">
        <v>272</v>
      </c>
      <c r="D180" s="8">
        <v>12458241</v>
      </c>
      <c r="E180" t="s">
        <v>116</v>
      </c>
      <c r="F180" t="s">
        <v>67</v>
      </c>
      <c r="G180" t="s">
        <v>68</v>
      </c>
      <c r="H180">
        <v>10</v>
      </c>
      <c r="I180">
        <v>267.32</v>
      </c>
      <c r="J180" t="s">
        <v>69</v>
      </c>
      <c r="K180" t="s">
        <v>70</v>
      </c>
      <c r="L180" t="s">
        <v>71</v>
      </c>
      <c r="M180" t="s">
        <v>72</v>
      </c>
      <c r="N180">
        <v>0.31</v>
      </c>
      <c r="O180">
        <v>0.31000000000000005</v>
      </c>
      <c r="P180">
        <v>10</v>
      </c>
      <c r="Q180">
        <v>0</v>
      </c>
    </row>
    <row r="181" spans="1:17" x14ac:dyDescent="0.2">
      <c r="A181" t="s">
        <v>270</v>
      </c>
      <c r="B181" t="s">
        <v>271</v>
      </c>
      <c r="C181" t="s">
        <v>272</v>
      </c>
      <c r="D181" s="8">
        <v>12560593</v>
      </c>
      <c r="E181" t="s">
        <v>42</v>
      </c>
      <c r="F181" t="s">
        <v>67</v>
      </c>
      <c r="G181" t="s">
        <v>68</v>
      </c>
      <c r="H181">
        <v>2</v>
      </c>
      <c r="I181">
        <v>135.87</v>
      </c>
      <c r="J181" t="s">
        <v>69</v>
      </c>
      <c r="K181" t="s">
        <v>70</v>
      </c>
      <c r="L181" t="s">
        <v>71</v>
      </c>
      <c r="M181" t="s">
        <v>72</v>
      </c>
      <c r="N181">
        <v>0.05</v>
      </c>
      <c r="O181">
        <v>5.0000000000000044E-2</v>
      </c>
      <c r="P181">
        <v>2</v>
      </c>
      <c r="Q181">
        <v>0</v>
      </c>
    </row>
    <row r="182" spans="1:17" x14ac:dyDescent="0.2">
      <c r="A182" t="s">
        <v>270</v>
      </c>
      <c r="B182" t="s">
        <v>271</v>
      </c>
      <c r="C182" t="s">
        <v>272</v>
      </c>
      <c r="D182" s="8">
        <v>12473150</v>
      </c>
      <c r="E182" t="s">
        <v>145</v>
      </c>
      <c r="F182" t="s">
        <v>67</v>
      </c>
      <c r="G182" t="s">
        <v>68</v>
      </c>
      <c r="H182">
        <v>2</v>
      </c>
      <c r="I182">
        <v>267.20999999999998</v>
      </c>
      <c r="J182" t="s">
        <v>69</v>
      </c>
      <c r="K182" t="s">
        <v>70</v>
      </c>
      <c r="L182" t="s">
        <v>71</v>
      </c>
      <c r="M182" t="s">
        <v>72</v>
      </c>
      <c r="N182">
        <v>0.33</v>
      </c>
      <c r="O182">
        <v>0.33000000000000007</v>
      </c>
      <c r="P182">
        <v>2</v>
      </c>
      <c r="Q182">
        <v>0</v>
      </c>
    </row>
    <row r="183" spans="1:17" x14ac:dyDescent="0.2">
      <c r="A183" t="s">
        <v>270</v>
      </c>
      <c r="B183" t="s">
        <v>271</v>
      </c>
      <c r="C183" t="s">
        <v>272</v>
      </c>
      <c r="D183" s="8">
        <v>12612370</v>
      </c>
      <c r="E183" t="s">
        <v>88</v>
      </c>
      <c r="F183" t="s">
        <v>67</v>
      </c>
      <c r="G183" t="s">
        <v>68</v>
      </c>
      <c r="H183">
        <v>20</v>
      </c>
      <c r="I183">
        <v>270.63</v>
      </c>
      <c r="J183" t="s">
        <v>69</v>
      </c>
      <c r="K183" t="s">
        <v>70</v>
      </c>
      <c r="L183" t="s">
        <v>71</v>
      </c>
      <c r="M183" t="s">
        <v>72</v>
      </c>
      <c r="N183">
        <v>0.33</v>
      </c>
      <c r="O183">
        <v>0.33000000000000007</v>
      </c>
      <c r="P183">
        <v>20</v>
      </c>
      <c r="Q183">
        <v>0</v>
      </c>
    </row>
    <row r="184" spans="1:17" x14ac:dyDescent="0.2">
      <c r="A184" t="s">
        <v>270</v>
      </c>
      <c r="B184" t="s">
        <v>271</v>
      </c>
      <c r="C184" t="s">
        <v>272</v>
      </c>
      <c r="D184" s="8">
        <v>12618913</v>
      </c>
      <c r="E184" t="s">
        <v>275</v>
      </c>
      <c r="F184" t="s">
        <v>67</v>
      </c>
      <c r="G184" t="s">
        <v>68</v>
      </c>
      <c r="H184">
        <v>3</v>
      </c>
      <c r="I184">
        <v>255.67</v>
      </c>
      <c r="J184" t="s">
        <v>69</v>
      </c>
      <c r="K184" t="s">
        <v>70</v>
      </c>
      <c r="L184" t="s">
        <v>71</v>
      </c>
      <c r="M184" t="s">
        <v>72</v>
      </c>
      <c r="N184">
        <v>0.33</v>
      </c>
      <c r="O184">
        <v>0.33000000000000007</v>
      </c>
      <c r="P184">
        <v>3</v>
      </c>
      <c r="Q184">
        <v>0</v>
      </c>
    </row>
    <row r="185" spans="1:17" x14ac:dyDescent="0.2">
      <c r="A185" t="s">
        <v>276</v>
      </c>
      <c r="B185" t="s">
        <v>271</v>
      </c>
      <c r="C185" t="s">
        <v>272</v>
      </c>
      <c r="D185" s="8">
        <v>12618910</v>
      </c>
      <c r="E185" t="s">
        <v>112</v>
      </c>
      <c r="F185" t="s">
        <v>67</v>
      </c>
      <c r="G185" t="s">
        <v>68</v>
      </c>
      <c r="H185">
        <v>2</v>
      </c>
      <c r="I185">
        <v>157.13999999999999</v>
      </c>
      <c r="J185" t="s">
        <v>69</v>
      </c>
      <c r="K185" t="s">
        <v>70</v>
      </c>
      <c r="L185" t="s">
        <v>71</v>
      </c>
      <c r="M185" t="s">
        <v>72</v>
      </c>
      <c r="N185">
        <v>0.2</v>
      </c>
      <c r="O185">
        <v>0.19999999999999996</v>
      </c>
      <c r="P185">
        <v>2</v>
      </c>
      <c r="Q185">
        <v>0</v>
      </c>
    </row>
    <row r="186" spans="1:17" x14ac:dyDescent="0.2">
      <c r="A186" t="s">
        <v>276</v>
      </c>
      <c r="B186" t="s">
        <v>271</v>
      </c>
      <c r="C186" t="s">
        <v>272</v>
      </c>
      <c r="D186" s="8">
        <v>12528224</v>
      </c>
      <c r="E186" t="s">
        <v>5</v>
      </c>
      <c r="F186" t="s">
        <v>67</v>
      </c>
      <c r="G186" t="s">
        <v>68</v>
      </c>
      <c r="H186">
        <v>1</v>
      </c>
      <c r="I186">
        <v>288.57</v>
      </c>
      <c r="J186" t="s">
        <v>69</v>
      </c>
      <c r="K186" t="s">
        <v>70</v>
      </c>
      <c r="L186" t="s">
        <v>71</v>
      </c>
      <c r="M186" t="s">
        <v>72</v>
      </c>
      <c r="N186">
        <v>7.0000000000000007E-2</v>
      </c>
      <c r="O186">
        <v>7.0000000000000062E-2</v>
      </c>
      <c r="P186">
        <v>1</v>
      </c>
      <c r="Q186">
        <v>0</v>
      </c>
    </row>
    <row r="187" spans="1:17" x14ac:dyDescent="0.2">
      <c r="A187" t="s">
        <v>276</v>
      </c>
      <c r="B187" t="s">
        <v>271</v>
      </c>
      <c r="C187" t="s">
        <v>272</v>
      </c>
      <c r="D187" s="8">
        <v>12536218</v>
      </c>
      <c r="E187" t="s">
        <v>0</v>
      </c>
      <c r="F187" t="s">
        <v>67</v>
      </c>
      <c r="G187" t="s">
        <v>68</v>
      </c>
      <c r="H187">
        <v>16</v>
      </c>
      <c r="I187">
        <v>171.94</v>
      </c>
      <c r="J187" t="s">
        <v>69</v>
      </c>
      <c r="K187" t="s">
        <v>70</v>
      </c>
      <c r="L187" t="s">
        <v>71</v>
      </c>
      <c r="M187" t="s">
        <v>72</v>
      </c>
      <c r="N187">
        <v>0.08</v>
      </c>
      <c r="O187">
        <v>8.0000000000000071E-2</v>
      </c>
      <c r="P187">
        <v>16</v>
      </c>
      <c r="Q187">
        <v>0</v>
      </c>
    </row>
    <row r="188" spans="1:17" x14ac:dyDescent="0.2">
      <c r="A188" t="s">
        <v>276</v>
      </c>
      <c r="B188" t="s">
        <v>271</v>
      </c>
      <c r="C188" t="s">
        <v>272</v>
      </c>
      <c r="D188" s="8">
        <v>12555739</v>
      </c>
      <c r="E188" t="s">
        <v>277</v>
      </c>
      <c r="F188" t="s">
        <v>67</v>
      </c>
      <c r="G188" t="s">
        <v>68</v>
      </c>
      <c r="H188">
        <v>6</v>
      </c>
      <c r="I188">
        <v>160.4</v>
      </c>
      <c r="J188" t="s">
        <v>69</v>
      </c>
      <c r="K188" t="s">
        <v>70</v>
      </c>
      <c r="L188" t="s">
        <v>71</v>
      </c>
      <c r="M188" t="s">
        <v>72</v>
      </c>
      <c r="N188">
        <v>0.19</v>
      </c>
      <c r="O188">
        <v>0.18999999999999995</v>
      </c>
      <c r="P188">
        <v>6</v>
      </c>
      <c r="Q188">
        <v>0</v>
      </c>
    </row>
    <row r="189" spans="1:17" x14ac:dyDescent="0.2">
      <c r="A189" t="s">
        <v>278</v>
      </c>
      <c r="B189" t="s">
        <v>279</v>
      </c>
      <c r="C189" t="s">
        <v>280</v>
      </c>
      <c r="D189" s="8">
        <v>43564</v>
      </c>
      <c r="E189" t="s">
        <v>97</v>
      </c>
      <c r="F189" t="s">
        <v>67</v>
      </c>
      <c r="G189" t="s">
        <v>68</v>
      </c>
      <c r="H189">
        <v>1</v>
      </c>
      <c r="I189">
        <v>67.27</v>
      </c>
      <c r="J189" t="s">
        <v>69</v>
      </c>
      <c r="K189" t="s">
        <v>70</v>
      </c>
      <c r="L189" t="s">
        <v>71</v>
      </c>
      <c r="M189" t="s">
        <v>72</v>
      </c>
      <c r="N189">
        <v>1</v>
      </c>
      <c r="O189">
        <v>0</v>
      </c>
      <c r="P189">
        <v>0</v>
      </c>
      <c r="Q189">
        <v>1</v>
      </c>
    </row>
    <row r="190" spans="1:17" x14ac:dyDescent="0.2">
      <c r="A190" t="s">
        <v>278</v>
      </c>
      <c r="B190" t="s">
        <v>279</v>
      </c>
      <c r="C190" t="s">
        <v>280</v>
      </c>
      <c r="D190" s="8">
        <v>12613402</v>
      </c>
      <c r="E190" t="s">
        <v>73</v>
      </c>
      <c r="F190" t="s">
        <v>67</v>
      </c>
      <c r="G190" t="s">
        <v>68</v>
      </c>
      <c r="H190">
        <v>6</v>
      </c>
      <c r="I190">
        <v>18.32</v>
      </c>
      <c r="J190" t="s">
        <v>69</v>
      </c>
      <c r="K190" t="s">
        <v>70</v>
      </c>
      <c r="L190" t="s">
        <v>71</v>
      </c>
      <c r="M190" t="s">
        <v>72</v>
      </c>
      <c r="N190">
        <v>0.01</v>
      </c>
      <c r="O190">
        <v>1.0000000000000009E-2</v>
      </c>
      <c r="P190">
        <v>6</v>
      </c>
      <c r="Q190">
        <v>0</v>
      </c>
    </row>
    <row r="191" spans="1:17" x14ac:dyDescent="0.2">
      <c r="A191" t="s">
        <v>278</v>
      </c>
      <c r="B191" t="s">
        <v>279</v>
      </c>
      <c r="C191" t="s">
        <v>280</v>
      </c>
      <c r="D191" s="8">
        <v>12605969</v>
      </c>
      <c r="E191" t="s">
        <v>66</v>
      </c>
      <c r="F191" t="s">
        <v>67</v>
      </c>
      <c r="G191" t="s">
        <v>68</v>
      </c>
      <c r="H191">
        <v>2</v>
      </c>
      <c r="I191">
        <v>37.5</v>
      </c>
      <c r="J191" t="s">
        <v>69</v>
      </c>
      <c r="K191" t="s">
        <v>70</v>
      </c>
      <c r="L191" t="s">
        <v>71</v>
      </c>
      <c r="M191" t="s">
        <v>72</v>
      </c>
      <c r="N191">
        <v>0.01</v>
      </c>
      <c r="O191">
        <v>1.0000000000000009E-2</v>
      </c>
      <c r="P191">
        <v>2</v>
      </c>
      <c r="Q191">
        <v>0</v>
      </c>
    </row>
    <row r="192" spans="1:17" x14ac:dyDescent="0.2">
      <c r="A192" t="s">
        <v>278</v>
      </c>
      <c r="B192" t="s">
        <v>279</v>
      </c>
      <c r="C192" t="s">
        <v>280</v>
      </c>
      <c r="D192" s="8">
        <v>12436421</v>
      </c>
      <c r="E192" t="s">
        <v>6</v>
      </c>
      <c r="F192" t="s">
        <v>67</v>
      </c>
      <c r="G192" t="s">
        <v>68</v>
      </c>
      <c r="H192">
        <v>4</v>
      </c>
      <c r="I192">
        <v>42.99</v>
      </c>
      <c r="J192" t="s">
        <v>69</v>
      </c>
      <c r="K192" t="s">
        <v>70</v>
      </c>
      <c r="L192" t="s">
        <v>71</v>
      </c>
      <c r="M192" t="s">
        <v>72</v>
      </c>
      <c r="N192">
        <v>0.02</v>
      </c>
      <c r="O192">
        <v>2.0000000000000018E-2</v>
      </c>
      <c r="P192">
        <v>4</v>
      </c>
      <c r="Q192">
        <v>0</v>
      </c>
    </row>
    <row r="193" spans="1:17" x14ac:dyDescent="0.2">
      <c r="A193" t="s">
        <v>278</v>
      </c>
      <c r="B193" t="s">
        <v>279</v>
      </c>
      <c r="C193" t="s">
        <v>280</v>
      </c>
      <c r="D193" s="8">
        <v>12604377</v>
      </c>
      <c r="E193" t="s">
        <v>93</v>
      </c>
      <c r="F193" t="s">
        <v>67</v>
      </c>
      <c r="G193" t="s">
        <v>68</v>
      </c>
      <c r="H193">
        <v>5</v>
      </c>
      <c r="I193">
        <v>67.27</v>
      </c>
      <c r="J193" t="s">
        <v>69</v>
      </c>
      <c r="K193" t="s">
        <v>70</v>
      </c>
      <c r="L193" t="s">
        <v>71</v>
      </c>
      <c r="M193" t="s">
        <v>72</v>
      </c>
      <c r="N193">
        <v>0.03</v>
      </c>
      <c r="O193">
        <v>3.0000000000000027E-2</v>
      </c>
      <c r="P193">
        <v>5</v>
      </c>
      <c r="Q193">
        <v>0</v>
      </c>
    </row>
    <row r="194" spans="1:17" x14ac:dyDescent="0.2">
      <c r="A194" t="s">
        <v>278</v>
      </c>
      <c r="B194" t="s">
        <v>279</v>
      </c>
      <c r="C194" t="s">
        <v>280</v>
      </c>
      <c r="D194" s="8">
        <v>12575127</v>
      </c>
      <c r="E194" t="s">
        <v>13</v>
      </c>
      <c r="F194" t="s">
        <v>67</v>
      </c>
      <c r="G194" t="s">
        <v>68</v>
      </c>
      <c r="H194">
        <v>12</v>
      </c>
      <c r="I194">
        <v>103.97</v>
      </c>
      <c r="J194" t="s">
        <v>69</v>
      </c>
      <c r="K194" t="s">
        <v>70</v>
      </c>
      <c r="L194" t="s">
        <v>71</v>
      </c>
      <c r="M194" t="s">
        <v>72</v>
      </c>
      <c r="N194">
        <v>0.02</v>
      </c>
      <c r="O194">
        <v>2.0000000000000018E-2</v>
      </c>
      <c r="P194">
        <v>12</v>
      </c>
      <c r="Q194">
        <v>0</v>
      </c>
    </row>
    <row r="195" spans="1:17" x14ac:dyDescent="0.2">
      <c r="A195" t="s">
        <v>278</v>
      </c>
      <c r="B195" t="s">
        <v>279</v>
      </c>
      <c r="C195" t="s">
        <v>280</v>
      </c>
      <c r="D195" s="8">
        <v>12560070</v>
      </c>
      <c r="E195" t="s">
        <v>15</v>
      </c>
      <c r="F195" t="s">
        <v>67</v>
      </c>
      <c r="G195" t="s">
        <v>68</v>
      </c>
      <c r="H195">
        <v>8</v>
      </c>
      <c r="I195">
        <v>38.28</v>
      </c>
      <c r="J195" t="s">
        <v>69</v>
      </c>
      <c r="K195" t="s">
        <v>70</v>
      </c>
      <c r="L195" t="s">
        <v>71</v>
      </c>
      <c r="M195" t="s">
        <v>72</v>
      </c>
      <c r="N195">
        <v>0.01</v>
      </c>
      <c r="O195">
        <v>1.0000000000000009E-2</v>
      </c>
      <c r="P195">
        <v>8</v>
      </c>
      <c r="Q195">
        <v>0</v>
      </c>
    </row>
    <row r="196" spans="1:17" x14ac:dyDescent="0.2">
      <c r="A196" t="s">
        <v>281</v>
      </c>
      <c r="B196" t="s">
        <v>282</v>
      </c>
      <c r="C196" t="s">
        <v>283</v>
      </c>
      <c r="D196" s="8">
        <v>43564</v>
      </c>
      <c r="E196" t="s">
        <v>97</v>
      </c>
      <c r="F196" t="s">
        <v>67</v>
      </c>
      <c r="G196" t="s">
        <v>68</v>
      </c>
      <c r="H196">
        <v>1</v>
      </c>
      <c r="I196">
        <v>67.27</v>
      </c>
      <c r="J196" t="s">
        <v>69</v>
      </c>
      <c r="K196" t="s">
        <v>70</v>
      </c>
      <c r="L196" t="s">
        <v>71</v>
      </c>
      <c r="M196" t="s">
        <v>72</v>
      </c>
      <c r="N196">
        <v>1</v>
      </c>
      <c r="O196">
        <v>0</v>
      </c>
      <c r="P196">
        <v>0</v>
      </c>
      <c r="Q196">
        <v>1</v>
      </c>
    </row>
    <row r="197" spans="1:17" x14ac:dyDescent="0.2">
      <c r="A197" t="s">
        <v>281</v>
      </c>
      <c r="B197" t="s">
        <v>282</v>
      </c>
      <c r="C197" t="s">
        <v>283</v>
      </c>
      <c r="D197" s="8">
        <v>12613402</v>
      </c>
      <c r="E197" t="s">
        <v>73</v>
      </c>
      <c r="F197" t="s">
        <v>67</v>
      </c>
      <c r="G197" t="s">
        <v>68</v>
      </c>
      <c r="H197">
        <v>6</v>
      </c>
      <c r="I197">
        <v>18.32</v>
      </c>
      <c r="J197" t="s">
        <v>69</v>
      </c>
      <c r="K197" t="s">
        <v>70</v>
      </c>
      <c r="L197" t="s">
        <v>71</v>
      </c>
      <c r="M197" t="s">
        <v>72</v>
      </c>
      <c r="N197">
        <v>0.01</v>
      </c>
      <c r="O197">
        <v>1.0000000000000009E-2</v>
      </c>
      <c r="P197">
        <v>6</v>
      </c>
      <c r="Q197">
        <v>0</v>
      </c>
    </row>
    <row r="198" spans="1:17" x14ac:dyDescent="0.2">
      <c r="A198" t="s">
        <v>281</v>
      </c>
      <c r="B198" t="s">
        <v>282</v>
      </c>
      <c r="C198" t="s">
        <v>283</v>
      </c>
      <c r="D198" s="8">
        <v>12605969</v>
      </c>
      <c r="E198" t="s">
        <v>66</v>
      </c>
      <c r="F198" t="s">
        <v>67</v>
      </c>
      <c r="G198" t="s">
        <v>68</v>
      </c>
      <c r="H198">
        <v>2</v>
      </c>
      <c r="I198">
        <v>37.5</v>
      </c>
      <c r="J198" t="s">
        <v>69</v>
      </c>
      <c r="K198" t="s">
        <v>70</v>
      </c>
      <c r="L198" t="s">
        <v>71</v>
      </c>
      <c r="M198" t="s">
        <v>72</v>
      </c>
      <c r="N198">
        <v>0.01</v>
      </c>
      <c r="O198">
        <v>1.0000000000000009E-2</v>
      </c>
      <c r="P198">
        <v>2</v>
      </c>
      <c r="Q198">
        <v>0</v>
      </c>
    </row>
    <row r="199" spans="1:17" x14ac:dyDescent="0.2">
      <c r="A199" t="s">
        <v>281</v>
      </c>
      <c r="B199" t="s">
        <v>282</v>
      </c>
      <c r="C199" t="s">
        <v>283</v>
      </c>
      <c r="D199" s="8">
        <v>12436421</v>
      </c>
      <c r="E199" t="s">
        <v>6</v>
      </c>
      <c r="F199" t="s">
        <v>67</v>
      </c>
      <c r="G199" t="s">
        <v>68</v>
      </c>
      <c r="H199">
        <v>4</v>
      </c>
      <c r="I199">
        <v>42.99</v>
      </c>
      <c r="J199" t="s">
        <v>69</v>
      </c>
      <c r="K199" t="s">
        <v>70</v>
      </c>
      <c r="L199" t="s">
        <v>71</v>
      </c>
      <c r="M199" t="s">
        <v>72</v>
      </c>
      <c r="N199">
        <v>0.02</v>
      </c>
      <c r="O199">
        <v>2.0000000000000018E-2</v>
      </c>
      <c r="P199">
        <v>4</v>
      </c>
      <c r="Q199">
        <v>0</v>
      </c>
    </row>
    <row r="200" spans="1:17" x14ac:dyDescent="0.2">
      <c r="A200" t="s">
        <v>281</v>
      </c>
      <c r="B200" t="s">
        <v>282</v>
      </c>
      <c r="C200" t="s">
        <v>283</v>
      </c>
      <c r="D200" s="8">
        <v>12604377</v>
      </c>
      <c r="E200" t="s">
        <v>93</v>
      </c>
      <c r="F200" t="s">
        <v>67</v>
      </c>
      <c r="G200" t="s">
        <v>68</v>
      </c>
      <c r="H200">
        <v>5</v>
      </c>
      <c r="I200">
        <v>67.27</v>
      </c>
      <c r="J200" t="s">
        <v>69</v>
      </c>
      <c r="K200" t="s">
        <v>70</v>
      </c>
      <c r="L200" t="s">
        <v>71</v>
      </c>
      <c r="M200" t="s">
        <v>72</v>
      </c>
      <c r="N200">
        <v>0.03</v>
      </c>
      <c r="O200">
        <v>3.0000000000000027E-2</v>
      </c>
      <c r="P200">
        <v>5</v>
      </c>
      <c r="Q200">
        <v>0</v>
      </c>
    </row>
    <row r="201" spans="1:17" x14ac:dyDescent="0.2">
      <c r="A201" t="s">
        <v>281</v>
      </c>
      <c r="B201" t="s">
        <v>282</v>
      </c>
      <c r="C201" t="s">
        <v>283</v>
      </c>
      <c r="D201" s="8">
        <v>12575127</v>
      </c>
      <c r="E201" t="s">
        <v>13</v>
      </c>
      <c r="F201" t="s">
        <v>67</v>
      </c>
      <c r="G201" t="s">
        <v>68</v>
      </c>
      <c r="H201">
        <v>12</v>
      </c>
      <c r="I201">
        <v>103.97</v>
      </c>
      <c r="J201" t="s">
        <v>69</v>
      </c>
      <c r="K201" t="s">
        <v>70</v>
      </c>
      <c r="L201" t="s">
        <v>71</v>
      </c>
      <c r="M201" t="s">
        <v>72</v>
      </c>
      <c r="N201">
        <v>0.02</v>
      </c>
      <c r="O201">
        <v>2.0000000000000018E-2</v>
      </c>
      <c r="P201">
        <v>12</v>
      </c>
      <c r="Q201">
        <v>0</v>
      </c>
    </row>
    <row r="202" spans="1:17" x14ac:dyDescent="0.2">
      <c r="A202" t="s">
        <v>281</v>
      </c>
      <c r="B202" t="s">
        <v>282</v>
      </c>
      <c r="C202" t="s">
        <v>283</v>
      </c>
      <c r="D202" s="8">
        <v>12560070</v>
      </c>
      <c r="E202" t="s">
        <v>15</v>
      </c>
      <c r="F202" t="s">
        <v>67</v>
      </c>
      <c r="G202" t="s">
        <v>68</v>
      </c>
      <c r="H202">
        <v>8</v>
      </c>
      <c r="I202">
        <v>38.28</v>
      </c>
      <c r="J202" t="s">
        <v>69</v>
      </c>
      <c r="K202" t="s">
        <v>70</v>
      </c>
      <c r="L202" t="s">
        <v>71</v>
      </c>
      <c r="M202" t="s">
        <v>72</v>
      </c>
      <c r="N202">
        <v>0.01</v>
      </c>
      <c r="O202">
        <v>1.0000000000000009E-2</v>
      </c>
      <c r="P202">
        <v>8</v>
      </c>
      <c r="Q202">
        <v>0</v>
      </c>
    </row>
    <row r="203" spans="1:17" x14ac:dyDescent="0.2">
      <c r="A203" t="s">
        <v>284</v>
      </c>
      <c r="B203" t="s">
        <v>285</v>
      </c>
      <c r="C203" t="s">
        <v>286</v>
      </c>
      <c r="D203" s="8">
        <v>12613402</v>
      </c>
      <c r="E203" t="s">
        <v>73</v>
      </c>
      <c r="F203" t="s">
        <v>67</v>
      </c>
      <c r="G203" t="s">
        <v>68</v>
      </c>
      <c r="H203">
        <v>6</v>
      </c>
      <c r="I203">
        <v>18.32</v>
      </c>
      <c r="J203" t="s">
        <v>69</v>
      </c>
      <c r="K203" t="s">
        <v>70</v>
      </c>
      <c r="L203" t="s">
        <v>71</v>
      </c>
      <c r="M203" t="s">
        <v>72</v>
      </c>
      <c r="N203">
        <v>0.01</v>
      </c>
      <c r="O203">
        <v>1.0000000000000009E-2</v>
      </c>
      <c r="P203">
        <v>6</v>
      </c>
      <c r="Q203">
        <v>0</v>
      </c>
    </row>
    <row r="204" spans="1:17" x14ac:dyDescent="0.2">
      <c r="A204" t="s">
        <v>284</v>
      </c>
      <c r="B204" t="s">
        <v>285</v>
      </c>
      <c r="C204" t="s">
        <v>286</v>
      </c>
      <c r="D204" s="8">
        <v>12605969</v>
      </c>
      <c r="E204" t="s">
        <v>66</v>
      </c>
      <c r="F204" t="s">
        <v>67</v>
      </c>
      <c r="G204" t="s">
        <v>68</v>
      </c>
      <c r="H204">
        <v>2</v>
      </c>
      <c r="I204">
        <v>37.5</v>
      </c>
      <c r="J204" t="s">
        <v>69</v>
      </c>
      <c r="K204" t="s">
        <v>70</v>
      </c>
      <c r="L204" t="s">
        <v>71</v>
      </c>
      <c r="M204" t="s">
        <v>72</v>
      </c>
      <c r="N204">
        <v>0.01</v>
      </c>
      <c r="O204">
        <v>1.0000000000000009E-2</v>
      </c>
      <c r="P204">
        <v>2</v>
      </c>
      <c r="Q204">
        <v>0</v>
      </c>
    </row>
    <row r="205" spans="1:17" x14ac:dyDescent="0.2">
      <c r="A205" t="s">
        <v>284</v>
      </c>
      <c r="B205" t="s">
        <v>285</v>
      </c>
      <c r="C205" t="s">
        <v>286</v>
      </c>
      <c r="D205" s="8">
        <v>12436421</v>
      </c>
      <c r="E205" t="s">
        <v>6</v>
      </c>
      <c r="F205" t="s">
        <v>67</v>
      </c>
      <c r="G205" t="s">
        <v>68</v>
      </c>
      <c r="H205">
        <v>4</v>
      </c>
      <c r="I205">
        <v>42.99</v>
      </c>
      <c r="J205" t="s">
        <v>69</v>
      </c>
      <c r="K205" t="s">
        <v>70</v>
      </c>
      <c r="L205" t="s">
        <v>71</v>
      </c>
      <c r="M205" t="s">
        <v>72</v>
      </c>
      <c r="N205">
        <v>0.02</v>
      </c>
      <c r="O205">
        <v>2.0000000000000018E-2</v>
      </c>
      <c r="P205">
        <v>4</v>
      </c>
      <c r="Q205">
        <v>0</v>
      </c>
    </row>
    <row r="206" spans="1:17" x14ac:dyDescent="0.2">
      <c r="A206" t="s">
        <v>284</v>
      </c>
      <c r="B206" t="s">
        <v>285</v>
      </c>
      <c r="C206" t="s">
        <v>286</v>
      </c>
      <c r="D206" s="8">
        <v>12604377</v>
      </c>
      <c r="E206" t="s">
        <v>93</v>
      </c>
      <c r="F206" t="s">
        <v>67</v>
      </c>
      <c r="G206" t="s">
        <v>68</v>
      </c>
      <c r="H206">
        <v>5</v>
      </c>
      <c r="I206">
        <v>67.27</v>
      </c>
      <c r="J206" t="s">
        <v>69</v>
      </c>
      <c r="K206" t="s">
        <v>70</v>
      </c>
      <c r="L206" t="s">
        <v>71</v>
      </c>
      <c r="M206" t="s">
        <v>72</v>
      </c>
      <c r="N206">
        <v>0.03</v>
      </c>
      <c r="O206">
        <v>3.0000000000000027E-2</v>
      </c>
      <c r="P206">
        <v>5</v>
      </c>
      <c r="Q206">
        <v>0</v>
      </c>
    </row>
    <row r="207" spans="1:17" x14ac:dyDescent="0.2">
      <c r="A207" t="s">
        <v>284</v>
      </c>
      <c r="B207" t="s">
        <v>285</v>
      </c>
      <c r="C207" t="s">
        <v>286</v>
      </c>
      <c r="D207" s="8">
        <v>12575127</v>
      </c>
      <c r="E207" t="s">
        <v>13</v>
      </c>
      <c r="F207" t="s">
        <v>67</v>
      </c>
      <c r="G207" t="s">
        <v>68</v>
      </c>
      <c r="H207">
        <v>12</v>
      </c>
      <c r="I207">
        <v>103.97</v>
      </c>
      <c r="J207" t="s">
        <v>69</v>
      </c>
      <c r="K207" t="s">
        <v>70</v>
      </c>
      <c r="L207" t="s">
        <v>71</v>
      </c>
      <c r="M207" t="s">
        <v>72</v>
      </c>
      <c r="N207">
        <v>0.02</v>
      </c>
      <c r="O207">
        <v>2.0000000000000018E-2</v>
      </c>
      <c r="P207">
        <v>12</v>
      </c>
      <c r="Q207">
        <v>0</v>
      </c>
    </row>
    <row r="208" spans="1:17" x14ac:dyDescent="0.2">
      <c r="A208" t="s">
        <v>284</v>
      </c>
      <c r="B208" t="s">
        <v>285</v>
      </c>
      <c r="C208" t="s">
        <v>286</v>
      </c>
      <c r="D208" s="8">
        <v>12560070</v>
      </c>
      <c r="E208" t="s">
        <v>15</v>
      </c>
      <c r="F208" t="s">
        <v>67</v>
      </c>
      <c r="G208" t="s">
        <v>68</v>
      </c>
      <c r="H208">
        <v>8</v>
      </c>
      <c r="I208">
        <v>38.28</v>
      </c>
      <c r="J208" t="s">
        <v>69</v>
      </c>
      <c r="K208" t="s">
        <v>70</v>
      </c>
      <c r="L208" t="s">
        <v>71</v>
      </c>
      <c r="M208" t="s">
        <v>72</v>
      </c>
      <c r="N208">
        <v>0.01</v>
      </c>
      <c r="O208">
        <v>1.0000000000000009E-2</v>
      </c>
      <c r="P208">
        <v>8</v>
      </c>
      <c r="Q208">
        <v>0</v>
      </c>
    </row>
    <row r="209" spans="1:17" x14ac:dyDescent="0.2">
      <c r="A209" t="s">
        <v>287</v>
      </c>
      <c r="B209" t="s">
        <v>288</v>
      </c>
      <c r="C209" t="s">
        <v>289</v>
      </c>
      <c r="D209" s="8">
        <v>12575127</v>
      </c>
      <c r="E209" t="s">
        <v>13</v>
      </c>
      <c r="F209" t="s">
        <v>67</v>
      </c>
      <c r="G209" t="s">
        <v>68</v>
      </c>
      <c r="H209">
        <v>12</v>
      </c>
      <c r="I209">
        <v>103.97</v>
      </c>
      <c r="J209" t="s">
        <v>69</v>
      </c>
      <c r="K209" t="s">
        <v>70</v>
      </c>
      <c r="L209" t="s">
        <v>71</v>
      </c>
      <c r="M209" t="s">
        <v>72</v>
      </c>
      <c r="N209">
        <v>0.02</v>
      </c>
      <c r="O209">
        <v>2.0000000000000018E-2</v>
      </c>
      <c r="P209">
        <v>12</v>
      </c>
      <c r="Q209">
        <v>0</v>
      </c>
    </row>
    <row r="210" spans="1:17" x14ac:dyDescent="0.2">
      <c r="A210" t="s">
        <v>290</v>
      </c>
      <c r="B210" t="s">
        <v>291</v>
      </c>
      <c r="C210" t="s">
        <v>292</v>
      </c>
      <c r="D210" s="8">
        <v>12613402</v>
      </c>
      <c r="E210" t="s">
        <v>73</v>
      </c>
      <c r="F210" t="s">
        <v>67</v>
      </c>
      <c r="G210" t="s">
        <v>68</v>
      </c>
      <c r="H210">
        <v>6</v>
      </c>
      <c r="I210">
        <v>18.32</v>
      </c>
      <c r="J210" t="s">
        <v>69</v>
      </c>
      <c r="K210" t="s">
        <v>70</v>
      </c>
      <c r="L210" t="s">
        <v>71</v>
      </c>
      <c r="M210" t="s">
        <v>72</v>
      </c>
      <c r="N210">
        <v>0.01</v>
      </c>
      <c r="O210">
        <v>1.0000000000000009E-2</v>
      </c>
      <c r="P210">
        <v>6</v>
      </c>
      <c r="Q210">
        <v>0</v>
      </c>
    </row>
    <row r="211" spans="1:17" x14ac:dyDescent="0.2">
      <c r="A211" t="s">
        <v>290</v>
      </c>
      <c r="B211" t="s">
        <v>291</v>
      </c>
      <c r="C211" t="s">
        <v>292</v>
      </c>
      <c r="D211" s="8">
        <v>12605969</v>
      </c>
      <c r="E211" t="s">
        <v>66</v>
      </c>
      <c r="F211" t="s">
        <v>67</v>
      </c>
      <c r="G211" t="s">
        <v>68</v>
      </c>
      <c r="H211">
        <v>2</v>
      </c>
      <c r="I211">
        <v>37.5</v>
      </c>
      <c r="J211" t="s">
        <v>69</v>
      </c>
      <c r="K211" t="s">
        <v>70</v>
      </c>
      <c r="L211" t="s">
        <v>71</v>
      </c>
      <c r="M211" t="s">
        <v>72</v>
      </c>
      <c r="N211">
        <v>0.01</v>
      </c>
      <c r="O211">
        <v>1.0000000000000009E-2</v>
      </c>
      <c r="P211">
        <v>2</v>
      </c>
      <c r="Q211">
        <v>0</v>
      </c>
    </row>
    <row r="212" spans="1:17" x14ac:dyDescent="0.2">
      <c r="A212" t="s">
        <v>290</v>
      </c>
      <c r="B212" t="s">
        <v>291</v>
      </c>
      <c r="C212" t="s">
        <v>292</v>
      </c>
      <c r="D212" s="8">
        <v>12436421</v>
      </c>
      <c r="E212" t="s">
        <v>6</v>
      </c>
      <c r="F212" t="s">
        <v>67</v>
      </c>
      <c r="G212" t="s">
        <v>68</v>
      </c>
      <c r="H212">
        <v>4</v>
      </c>
      <c r="I212">
        <v>42.99</v>
      </c>
      <c r="J212" t="s">
        <v>69</v>
      </c>
      <c r="K212" t="s">
        <v>70</v>
      </c>
      <c r="L212" t="s">
        <v>71</v>
      </c>
      <c r="M212" t="s">
        <v>72</v>
      </c>
      <c r="N212">
        <v>0.02</v>
      </c>
      <c r="O212">
        <v>2.0000000000000018E-2</v>
      </c>
      <c r="P212">
        <v>4</v>
      </c>
      <c r="Q212">
        <v>0</v>
      </c>
    </row>
    <row r="213" spans="1:17" x14ac:dyDescent="0.2">
      <c r="A213" t="s">
        <v>290</v>
      </c>
      <c r="B213" t="s">
        <v>291</v>
      </c>
      <c r="C213" t="s">
        <v>292</v>
      </c>
      <c r="D213" s="8">
        <v>12604377</v>
      </c>
      <c r="E213" t="s">
        <v>93</v>
      </c>
      <c r="F213" t="s">
        <v>67</v>
      </c>
      <c r="G213" t="s">
        <v>68</v>
      </c>
      <c r="H213">
        <v>5</v>
      </c>
      <c r="I213">
        <v>67.27</v>
      </c>
      <c r="J213" t="s">
        <v>69</v>
      </c>
      <c r="K213" t="s">
        <v>70</v>
      </c>
      <c r="L213" t="s">
        <v>71</v>
      </c>
      <c r="M213" t="s">
        <v>72</v>
      </c>
      <c r="N213">
        <v>0.03</v>
      </c>
      <c r="O213">
        <v>3.0000000000000027E-2</v>
      </c>
      <c r="P213">
        <v>5</v>
      </c>
      <c r="Q213">
        <v>0</v>
      </c>
    </row>
    <row r="214" spans="1:17" x14ac:dyDescent="0.2">
      <c r="A214" t="s">
        <v>290</v>
      </c>
      <c r="B214" t="s">
        <v>291</v>
      </c>
      <c r="C214" t="s">
        <v>292</v>
      </c>
      <c r="D214" s="8">
        <v>12575127</v>
      </c>
      <c r="E214" t="s">
        <v>13</v>
      </c>
      <c r="F214" t="s">
        <v>67</v>
      </c>
      <c r="G214" t="s">
        <v>68</v>
      </c>
      <c r="H214">
        <v>12</v>
      </c>
      <c r="I214">
        <v>103.97</v>
      </c>
      <c r="J214" t="s">
        <v>69</v>
      </c>
      <c r="K214" t="s">
        <v>70</v>
      </c>
      <c r="L214" t="s">
        <v>71</v>
      </c>
      <c r="M214" t="s">
        <v>72</v>
      </c>
      <c r="N214">
        <v>0.02</v>
      </c>
      <c r="O214">
        <v>2.0000000000000018E-2</v>
      </c>
      <c r="P214">
        <v>12</v>
      </c>
      <c r="Q214">
        <v>0</v>
      </c>
    </row>
    <row r="215" spans="1:17" x14ac:dyDescent="0.2">
      <c r="A215" t="s">
        <v>290</v>
      </c>
      <c r="B215" t="s">
        <v>291</v>
      </c>
      <c r="C215" t="s">
        <v>292</v>
      </c>
      <c r="D215" s="8">
        <v>12560070</v>
      </c>
      <c r="E215" t="s">
        <v>15</v>
      </c>
      <c r="F215" t="s">
        <v>67</v>
      </c>
      <c r="G215" t="s">
        <v>68</v>
      </c>
      <c r="H215">
        <v>8</v>
      </c>
      <c r="I215">
        <v>38.28</v>
      </c>
      <c r="J215" t="s">
        <v>69</v>
      </c>
      <c r="K215" t="s">
        <v>70</v>
      </c>
      <c r="L215" t="s">
        <v>71</v>
      </c>
      <c r="M215" t="s">
        <v>72</v>
      </c>
      <c r="N215">
        <v>0.01</v>
      </c>
      <c r="O215">
        <v>1.0000000000000009E-2</v>
      </c>
      <c r="P215">
        <v>8</v>
      </c>
      <c r="Q215">
        <v>0</v>
      </c>
    </row>
    <row r="216" spans="1:17" x14ac:dyDescent="0.2">
      <c r="A216" t="s">
        <v>293</v>
      </c>
      <c r="B216" t="s">
        <v>294</v>
      </c>
      <c r="C216" t="s">
        <v>295</v>
      </c>
      <c r="D216" s="8">
        <v>12613402</v>
      </c>
      <c r="E216" t="s">
        <v>73</v>
      </c>
      <c r="F216" t="s">
        <v>67</v>
      </c>
      <c r="G216" t="s">
        <v>68</v>
      </c>
      <c r="H216">
        <v>6</v>
      </c>
      <c r="I216">
        <v>18.32</v>
      </c>
      <c r="J216" t="s">
        <v>69</v>
      </c>
      <c r="K216" t="s">
        <v>70</v>
      </c>
      <c r="L216" t="s">
        <v>71</v>
      </c>
      <c r="M216" t="s">
        <v>72</v>
      </c>
      <c r="N216">
        <v>0.01</v>
      </c>
      <c r="O216">
        <v>1.0000000000000009E-2</v>
      </c>
      <c r="P216">
        <v>6</v>
      </c>
      <c r="Q216">
        <v>0</v>
      </c>
    </row>
    <row r="217" spans="1:17" x14ac:dyDescent="0.2">
      <c r="A217" t="s">
        <v>293</v>
      </c>
      <c r="B217" t="s">
        <v>294</v>
      </c>
      <c r="C217" t="s">
        <v>295</v>
      </c>
      <c r="D217" s="8">
        <v>12605969</v>
      </c>
      <c r="E217" t="s">
        <v>66</v>
      </c>
      <c r="F217" t="s">
        <v>67</v>
      </c>
      <c r="G217" t="s">
        <v>68</v>
      </c>
      <c r="H217">
        <v>2</v>
      </c>
      <c r="I217">
        <v>37.5</v>
      </c>
      <c r="J217" t="s">
        <v>69</v>
      </c>
      <c r="K217" t="s">
        <v>70</v>
      </c>
      <c r="L217" t="s">
        <v>71</v>
      </c>
      <c r="M217" t="s">
        <v>72</v>
      </c>
      <c r="N217">
        <v>0.01</v>
      </c>
      <c r="O217">
        <v>1.0000000000000009E-2</v>
      </c>
      <c r="P217">
        <v>2</v>
      </c>
      <c r="Q217">
        <v>0</v>
      </c>
    </row>
    <row r="218" spans="1:17" x14ac:dyDescent="0.2">
      <c r="A218" t="s">
        <v>293</v>
      </c>
      <c r="B218" t="s">
        <v>294</v>
      </c>
      <c r="C218" t="s">
        <v>295</v>
      </c>
      <c r="D218" s="8">
        <v>12436421</v>
      </c>
      <c r="E218" t="s">
        <v>6</v>
      </c>
      <c r="F218" t="s">
        <v>67</v>
      </c>
      <c r="G218" t="s">
        <v>68</v>
      </c>
      <c r="H218">
        <v>4</v>
      </c>
      <c r="I218">
        <v>42.99</v>
      </c>
      <c r="J218" t="s">
        <v>69</v>
      </c>
      <c r="K218" t="s">
        <v>70</v>
      </c>
      <c r="L218" t="s">
        <v>71</v>
      </c>
      <c r="M218" t="s">
        <v>72</v>
      </c>
      <c r="N218">
        <v>0.02</v>
      </c>
      <c r="O218">
        <v>2.0000000000000018E-2</v>
      </c>
      <c r="P218">
        <v>4</v>
      </c>
      <c r="Q218">
        <v>0</v>
      </c>
    </row>
    <row r="219" spans="1:17" x14ac:dyDescent="0.2">
      <c r="A219" t="s">
        <v>293</v>
      </c>
      <c r="B219" t="s">
        <v>294</v>
      </c>
      <c r="C219" t="s">
        <v>295</v>
      </c>
      <c r="D219" s="8">
        <v>12604377</v>
      </c>
      <c r="E219" t="s">
        <v>93</v>
      </c>
      <c r="F219" t="s">
        <v>67</v>
      </c>
      <c r="G219" t="s">
        <v>68</v>
      </c>
      <c r="H219">
        <v>5</v>
      </c>
      <c r="I219">
        <v>67.27</v>
      </c>
      <c r="J219" t="s">
        <v>69</v>
      </c>
      <c r="K219" t="s">
        <v>70</v>
      </c>
      <c r="L219" t="s">
        <v>71</v>
      </c>
      <c r="M219" t="s">
        <v>72</v>
      </c>
      <c r="N219">
        <v>0.03</v>
      </c>
      <c r="O219">
        <v>3.0000000000000027E-2</v>
      </c>
      <c r="P219">
        <v>5</v>
      </c>
      <c r="Q219">
        <v>0</v>
      </c>
    </row>
    <row r="220" spans="1:17" x14ac:dyDescent="0.2">
      <c r="A220" t="s">
        <v>293</v>
      </c>
      <c r="B220" t="s">
        <v>294</v>
      </c>
      <c r="C220" t="s">
        <v>295</v>
      </c>
      <c r="D220" s="8">
        <v>12575127</v>
      </c>
      <c r="E220" t="s">
        <v>13</v>
      </c>
      <c r="F220" t="s">
        <v>67</v>
      </c>
      <c r="G220" t="s">
        <v>68</v>
      </c>
      <c r="H220">
        <v>12</v>
      </c>
      <c r="I220">
        <v>103.97</v>
      </c>
      <c r="J220" t="s">
        <v>69</v>
      </c>
      <c r="K220" t="s">
        <v>70</v>
      </c>
      <c r="L220" t="s">
        <v>71</v>
      </c>
      <c r="M220" t="s">
        <v>72</v>
      </c>
      <c r="N220">
        <v>0.02</v>
      </c>
      <c r="O220">
        <v>2.0000000000000018E-2</v>
      </c>
      <c r="P220">
        <v>12</v>
      </c>
      <c r="Q220">
        <v>0</v>
      </c>
    </row>
    <row r="221" spans="1:17" x14ac:dyDescent="0.2">
      <c r="A221" t="s">
        <v>293</v>
      </c>
      <c r="B221" t="s">
        <v>294</v>
      </c>
      <c r="C221" t="s">
        <v>295</v>
      </c>
      <c r="D221" s="8">
        <v>12560070</v>
      </c>
      <c r="E221" t="s">
        <v>15</v>
      </c>
      <c r="F221" t="s">
        <v>67</v>
      </c>
      <c r="G221" t="s">
        <v>68</v>
      </c>
      <c r="H221">
        <v>8</v>
      </c>
      <c r="I221">
        <v>38.28</v>
      </c>
      <c r="J221" t="s">
        <v>69</v>
      </c>
      <c r="K221" t="s">
        <v>70</v>
      </c>
      <c r="L221" t="s">
        <v>71</v>
      </c>
      <c r="M221" t="s">
        <v>72</v>
      </c>
      <c r="N221">
        <v>0.01</v>
      </c>
      <c r="O221">
        <v>1.0000000000000009E-2</v>
      </c>
      <c r="P221">
        <v>8</v>
      </c>
      <c r="Q221">
        <v>0</v>
      </c>
    </row>
    <row r="222" spans="1:17" x14ac:dyDescent="0.2">
      <c r="A222" t="s">
        <v>296</v>
      </c>
      <c r="B222" t="s">
        <v>297</v>
      </c>
      <c r="C222" t="s">
        <v>298</v>
      </c>
      <c r="D222" s="8">
        <v>12613402</v>
      </c>
      <c r="E222" t="s">
        <v>73</v>
      </c>
      <c r="F222" t="s">
        <v>67</v>
      </c>
      <c r="G222" t="s">
        <v>68</v>
      </c>
      <c r="H222">
        <v>6</v>
      </c>
      <c r="I222">
        <v>18.32</v>
      </c>
      <c r="J222" t="s">
        <v>69</v>
      </c>
      <c r="K222" t="s">
        <v>70</v>
      </c>
      <c r="L222" t="s">
        <v>71</v>
      </c>
      <c r="M222" t="s">
        <v>72</v>
      </c>
      <c r="N222">
        <v>0.01</v>
      </c>
      <c r="O222">
        <v>1.0000000000000009E-2</v>
      </c>
      <c r="P222">
        <v>6</v>
      </c>
      <c r="Q222">
        <v>0</v>
      </c>
    </row>
    <row r="223" spans="1:17" x14ac:dyDescent="0.2">
      <c r="A223" t="s">
        <v>296</v>
      </c>
      <c r="B223" t="s">
        <v>297</v>
      </c>
      <c r="C223" t="s">
        <v>298</v>
      </c>
      <c r="D223" s="8">
        <v>12605969</v>
      </c>
      <c r="E223" t="s">
        <v>66</v>
      </c>
      <c r="F223" t="s">
        <v>67</v>
      </c>
      <c r="G223" t="s">
        <v>68</v>
      </c>
      <c r="H223">
        <v>2</v>
      </c>
      <c r="I223">
        <v>37.5</v>
      </c>
      <c r="J223" t="s">
        <v>69</v>
      </c>
      <c r="K223" t="s">
        <v>70</v>
      </c>
      <c r="L223" t="s">
        <v>71</v>
      </c>
      <c r="M223" t="s">
        <v>72</v>
      </c>
      <c r="N223">
        <v>0.01</v>
      </c>
      <c r="O223">
        <v>1.0000000000000009E-2</v>
      </c>
      <c r="P223">
        <v>2</v>
      </c>
      <c r="Q223">
        <v>0</v>
      </c>
    </row>
    <row r="224" spans="1:17" x14ac:dyDescent="0.2">
      <c r="A224" t="s">
        <v>296</v>
      </c>
      <c r="B224" t="s">
        <v>297</v>
      </c>
      <c r="C224" t="s">
        <v>298</v>
      </c>
      <c r="D224" s="8">
        <v>12436421</v>
      </c>
      <c r="E224" t="s">
        <v>6</v>
      </c>
      <c r="F224" t="s">
        <v>67</v>
      </c>
      <c r="G224" t="s">
        <v>68</v>
      </c>
      <c r="H224">
        <v>4</v>
      </c>
      <c r="I224">
        <v>42.99</v>
      </c>
      <c r="J224" t="s">
        <v>69</v>
      </c>
      <c r="K224" t="s">
        <v>70</v>
      </c>
      <c r="L224" t="s">
        <v>71</v>
      </c>
      <c r="M224" t="s">
        <v>72</v>
      </c>
      <c r="N224">
        <v>0.02</v>
      </c>
      <c r="O224">
        <v>2.0000000000000018E-2</v>
      </c>
      <c r="P224">
        <v>4</v>
      </c>
      <c r="Q224">
        <v>0</v>
      </c>
    </row>
    <row r="225" spans="1:17" x14ac:dyDescent="0.2">
      <c r="A225" t="s">
        <v>296</v>
      </c>
      <c r="B225" t="s">
        <v>297</v>
      </c>
      <c r="C225" t="s">
        <v>298</v>
      </c>
      <c r="D225" s="8">
        <v>12575127</v>
      </c>
      <c r="E225" t="s">
        <v>13</v>
      </c>
      <c r="F225" t="s">
        <v>67</v>
      </c>
      <c r="G225" t="s">
        <v>68</v>
      </c>
      <c r="H225">
        <v>12</v>
      </c>
      <c r="I225">
        <v>103.97</v>
      </c>
      <c r="J225" t="s">
        <v>69</v>
      </c>
      <c r="K225" t="s">
        <v>70</v>
      </c>
      <c r="L225" t="s">
        <v>71</v>
      </c>
      <c r="M225" t="s">
        <v>72</v>
      </c>
      <c r="N225">
        <v>0.02</v>
      </c>
      <c r="O225">
        <v>2.0000000000000018E-2</v>
      </c>
      <c r="P225">
        <v>12</v>
      </c>
      <c r="Q225">
        <v>0</v>
      </c>
    </row>
    <row r="226" spans="1:17" x14ac:dyDescent="0.2">
      <c r="A226" t="s">
        <v>296</v>
      </c>
      <c r="B226" t="s">
        <v>297</v>
      </c>
      <c r="C226" t="s">
        <v>298</v>
      </c>
      <c r="D226" s="8">
        <v>12560070</v>
      </c>
      <c r="E226" t="s">
        <v>15</v>
      </c>
      <c r="F226" t="s">
        <v>67</v>
      </c>
      <c r="G226" t="s">
        <v>68</v>
      </c>
      <c r="H226">
        <v>8</v>
      </c>
      <c r="I226">
        <v>38.28</v>
      </c>
      <c r="J226" t="s">
        <v>69</v>
      </c>
      <c r="K226" t="s">
        <v>70</v>
      </c>
      <c r="L226" t="s">
        <v>71</v>
      </c>
      <c r="M226" t="s">
        <v>72</v>
      </c>
      <c r="N226">
        <v>0.01</v>
      </c>
      <c r="O226">
        <v>1.0000000000000009E-2</v>
      </c>
      <c r="P226">
        <v>8</v>
      </c>
      <c r="Q226">
        <v>0</v>
      </c>
    </row>
    <row r="227" spans="1:17" x14ac:dyDescent="0.2">
      <c r="A227" t="s">
        <v>299</v>
      </c>
      <c r="B227" t="s">
        <v>300</v>
      </c>
      <c r="C227" t="s">
        <v>301</v>
      </c>
      <c r="D227" s="8">
        <v>12436421</v>
      </c>
      <c r="E227" t="s">
        <v>6</v>
      </c>
      <c r="F227" t="s">
        <v>67</v>
      </c>
      <c r="G227" t="s">
        <v>68</v>
      </c>
      <c r="H227">
        <v>8</v>
      </c>
      <c r="I227">
        <v>85.97</v>
      </c>
      <c r="J227" t="s">
        <v>91</v>
      </c>
      <c r="K227" t="s">
        <v>70</v>
      </c>
      <c r="L227" t="s">
        <v>71</v>
      </c>
      <c r="M227" t="s">
        <v>72</v>
      </c>
      <c r="N227">
        <v>0.04</v>
      </c>
      <c r="O227">
        <v>4.0000000000000036E-2</v>
      </c>
      <c r="P227">
        <v>8</v>
      </c>
      <c r="Q227">
        <v>0</v>
      </c>
    </row>
    <row r="228" spans="1:17" x14ac:dyDescent="0.2">
      <c r="A228" t="s">
        <v>302</v>
      </c>
      <c r="B228" t="s">
        <v>303</v>
      </c>
      <c r="C228" t="s">
        <v>304</v>
      </c>
      <c r="D228" s="8">
        <v>12436421</v>
      </c>
      <c r="E228" t="s">
        <v>6</v>
      </c>
      <c r="F228" t="s">
        <v>67</v>
      </c>
      <c r="G228" t="s">
        <v>68</v>
      </c>
      <c r="H228">
        <v>8</v>
      </c>
      <c r="I228">
        <v>85.97</v>
      </c>
      <c r="J228" t="s">
        <v>91</v>
      </c>
      <c r="K228" t="s">
        <v>70</v>
      </c>
      <c r="L228" t="s">
        <v>71</v>
      </c>
      <c r="M228" t="s">
        <v>72</v>
      </c>
      <c r="N228">
        <v>0.04</v>
      </c>
      <c r="O228">
        <v>4.0000000000000036E-2</v>
      </c>
      <c r="P228">
        <v>8</v>
      </c>
      <c r="Q228">
        <v>0</v>
      </c>
    </row>
    <row r="229" spans="1:17" x14ac:dyDescent="0.2">
      <c r="A229" t="s">
        <v>305</v>
      </c>
      <c r="B229" t="s">
        <v>306</v>
      </c>
      <c r="C229" t="s">
        <v>307</v>
      </c>
      <c r="D229" s="8">
        <v>12436421</v>
      </c>
      <c r="E229" t="s">
        <v>6</v>
      </c>
      <c r="F229" t="s">
        <v>67</v>
      </c>
      <c r="G229" t="s">
        <v>68</v>
      </c>
      <c r="H229">
        <v>8</v>
      </c>
      <c r="I229">
        <v>85.97</v>
      </c>
      <c r="J229" t="s">
        <v>91</v>
      </c>
      <c r="K229" t="s">
        <v>70</v>
      </c>
      <c r="L229" t="s">
        <v>71</v>
      </c>
      <c r="M229" t="s">
        <v>72</v>
      </c>
      <c r="N229">
        <v>0.04</v>
      </c>
      <c r="O229">
        <v>4.0000000000000036E-2</v>
      </c>
      <c r="P229">
        <v>8</v>
      </c>
      <c r="Q229">
        <v>0</v>
      </c>
    </row>
    <row r="230" spans="1:17" x14ac:dyDescent="0.2">
      <c r="A230" t="s">
        <v>308</v>
      </c>
      <c r="B230" t="s">
        <v>309</v>
      </c>
      <c r="C230" t="s">
        <v>310</v>
      </c>
      <c r="D230" s="8">
        <v>12436421</v>
      </c>
      <c r="E230" t="s">
        <v>6</v>
      </c>
      <c r="F230" t="s">
        <v>67</v>
      </c>
      <c r="G230" t="s">
        <v>68</v>
      </c>
      <c r="H230">
        <v>8</v>
      </c>
      <c r="I230">
        <v>85.97</v>
      </c>
      <c r="J230" t="s">
        <v>91</v>
      </c>
      <c r="K230" t="s">
        <v>70</v>
      </c>
      <c r="L230" t="s">
        <v>71</v>
      </c>
      <c r="M230" t="s">
        <v>72</v>
      </c>
      <c r="N230">
        <v>0.04</v>
      </c>
      <c r="O230">
        <v>4.0000000000000036E-2</v>
      </c>
      <c r="P230">
        <v>8</v>
      </c>
      <c r="Q230">
        <v>0</v>
      </c>
    </row>
    <row r="231" spans="1:17" x14ac:dyDescent="0.2">
      <c r="A231" t="s">
        <v>311</v>
      </c>
      <c r="B231" t="s">
        <v>312</v>
      </c>
      <c r="C231" t="s">
        <v>313</v>
      </c>
      <c r="D231" s="8">
        <v>12436421</v>
      </c>
      <c r="E231" t="s">
        <v>6</v>
      </c>
      <c r="F231" t="s">
        <v>67</v>
      </c>
      <c r="G231" t="s">
        <v>68</v>
      </c>
      <c r="H231">
        <v>16</v>
      </c>
      <c r="I231">
        <v>171.94</v>
      </c>
      <c r="J231" t="s">
        <v>91</v>
      </c>
      <c r="K231" t="s">
        <v>70</v>
      </c>
      <c r="L231" t="s">
        <v>71</v>
      </c>
      <c r="M231" t="s">
        <v>72</v>
      </c>
      <c r="N231">
        <v>0.08</v>
      </c>
      <c r="O231">
        <v>8.0000000000000071E-2</v>
      </c>
      <c r="P231">
        <v>16</v>
      </c>
      <c r="Q231">
        <v>0</v>
      </c>
    </row>
    <row r="232" spans="1:17" x14ac:dyDescent="0.2">
      <c r="A232" t="s">
        <v>314</v>
      </c>
      <c r="B232" t="s">
        <v>315</v>
      </c>
      <c r="C232" t="s">
        <v>235</v>
      </c>
      <c r="D232" s="8">
        <v>12618910</v>
      </c>
      <c r="E232" t="s">
        <v>112</v>
      </c>
      <c r="F232" t="s">
        <v>67</v>
      </c>
      <c r="G232" t="s">
        <v>68</v>
      </c>
      <c r="H232">
        <v>10</v>
      </c>
      <c r="I232">
        <v>785.7</v>
      </c>
      <c r="J232" t="s">
        <v>91</v>
      </c>
      <c r="K232" t="s">
        <v>70</v>
      </c>
      <c r="L232" t="s">
        <v>71</v>
      </c>
      <c r="M232" t="s">
        <v>72</v>
      </c>
      <c r="N232">
        <v>1</v>
      </c>
      <c r="O232">
        <v>0</v>
      </c>
      <c r="P232">
        <v>0</v>
      </c>
      <c r="Q232">
        <v>1</v>
      </c>
    </row>
    <row r="233" spans="1:17" x14ac:dyDescent="0.2">
      <c r="A233" t="s">
        <v>314</v>
      </c>
      <c r="B233" t="s">
        <v>315</v>
      </c>
      <c r="C233" t="s">
        <v>235</v>
      </c>
      <c r="D233" s="8">
        <v>12605994</v>
      </c>
      <c r="E233" t="s">
        <v>85</v>
      </c>
      <c r="F233" t="s">
        <v>67</v>
      </c>
      <c r="G233" t="s">
        <v>68</v>
      </c>
      <c r="H233">
        <v>36</v>
      </c>
      <c r="I233">
        <v>675.04</v>
      </c>
      <c r="J233" t="s">
        <v>91</v>
      </c>
      <c r="K233" t="s">
        <v>70</v>
      </c>
      <c r="L233" t="s">
        <v>71</v>
      </c>
      <c r="M233" t="s">
        <v>72</v>
      </c>
      <c r="N233">
        <v>0.25</v>
      </c>
      <c r="O233">
        <v>0.25</v>
      </c>
      <c r="P233">
        <v>36</v>
      </c>
      <c r="Q233">
        <v>0</v>
      </c>
    </row>
    <row r="234" spans="1:17" x14ac:dyDescent="0.2">
      <c r="A234" t="s">
        <v>314</v>
      </c>
      <c r="B234" t="s">
        <v>315</v>
      </c>
      <c r="C234" t="s">
        <v>235</v>
      </c>
      <c r="D234" s="8">
        <v>12604369</v>
      </c>
      <c r="E234" t="s">
        <v>316</v>
      </c>
      <c r="F234" t="s">
        <v>67</v>
      </c>
      <c r="G234" t="s">
        <v>68</v>
      </c>
      <c r="H234">
        <v>100</v>
      </c>
      <c r="I234">
        <v>1345.36</v>
      </c>
      <c r="J234" t="s">
        <v>91</v>
      </c>
      <c r="K234" t="s">
        <v>70</v>
      </c>
      <c r="L234" t="s">
        <v>71</v>
      </c>
      <c r="M234" t="s">
        <v>72</v>
      </c>
      <c r="N234">
        <v>0.5</v>
      </c>
      <c r="O234">
        <v>0.5</v>
      </c>
      <c r="P234">
        <v>100</v>
      </c>
      <c r="Q234">
        <v>0</v>
      </c>
    </row>
    <row r="235" spans="1:17" x14ac:dyDescent="0.2">
      <c r="A235" t="s">
        <v>314</v>
      </c>
      <c r="B235" t="s">
        <v>315</v>
      </c>
      <c r="C235" t="s">
        <v>235</v>
      </c>
      <c r="D235" s="8">
        <v>12592549</v>
      </c>
      <c r="E235" t="s">
        <v>38</v>
      </c>
      <c r="F235" t="s">
        <v>67</v>
      </c>
      <c r="G235" t="s">
        <v>68</v>
      </c>
      <c r="H235">
        <v>24</v>
      </c>
      <c r="I235">
        <v>1631.1</v>
      </c>
      <c r="J235" t="s">
        <v>91</v>
      </c>
      <c r="K235" t="s">
        <v>70</v>
      </c>
      <c r="L235" t="s">
        <v>71</v>
      </c>
      <c r="M235" t="s">
        <v>72</v>
      </c>
      <c r="N235">
        <v>1</v>
      </c>
      <c r="O235">
        <v>0</v>
      </c>
      <c r="P235">
        <v>0</v>
      </c>
      <c r="Q235">
        <v>1</v>
      </c>
    </row>
    <row r="236" spans="1:17" x14ac:dyDescent="0.2">
      <c r="A236" t="s">
        <v>314</v>
      </c>
      <c r="B236" t="s">
        <v>315</v>
      </c>
      <c r="C236" t="s">
        <v>235</v>
      </c>
      <c r="D236" s="8">
        <v>12604367</v>
      </c>
      <c r="E236" t="s">
        <v>82</v>
      </c>
      <c r="F236" t="s">
        <v>67</v>
      </c>
      <c r="G236" t="s">
        <v>68</v>
      </c>
      <c r="H236">
        <v>90</v>
      </c>
      <c r="I236">
        <v>745.08</v>
      </c>
      <c r="J236" t="s">
        <v>91</v>
      </c>
      <c r="K236" t="s">
        <v>70</v>
      </c>
      <c r="L236" t="s">
        <v>71</v>
      </c>
      <c r="M236" t="s">
        <v>72</v>
      </c>
      <c r="N236">
        <v>0.38</v>
      </c>
      <c r="O236">
        <v>0.37999999999999989</v>
      </c>
      <c r="P236">
        <v>90</v>
      </c>
      <c r="Q236">
        <v>0</v>
      </c>
    </row>
    <row r="237" spans="1:17" x14ac:dyDescent="0.2">
      <c r="A237" t="s">
        <v>314</v>
      </c>
      <c r="B237" t="s">
        <v>315</v>
      </c>
      <c r="C237" t="s">
        <v>235</v>
      </c>
      <c r="D237" s="8">
        <v>12555739</v>
      </c>
      <c r="E237" t="s">
        <v>277</v>
      </c>
      <c r="F237" t="s">
        <v>67</v>
      </c>
      <c r="G237" t="s">
        <v>68</v>
      </c>
      <c r="H237">
        <v>12</v>
      </c>
      <c r="I237">
        <v>320.79000000000002</v>
      </c>
      <c r="J237" t="s">
        <v>91</v>
      </c>
      <c r="K237" t="s">
        <v>70</v>
      </c>
      <c r="L237" t="s">
        <v>71</v>
      </c>
      <c r="M237" t="s">
        <v>72</v>
      </c>
      <c r="N237">
        <v>0.38</v>
      </c>
      <c r="O237">
        <v>0.37999999999999989</v>
      </c>
      <c r="P237">
        <v>12</v>
      </c>
      <c r="Q237">
        <v>0</v>
      </c>
    </row>
    <row r="238" spans="1:17" x14ac:dyDescent="0.2">
      <c r="A238" t="s">
        <v>314</v>
      </c>
      <c r="B238" t="s">
        <v>315</v>
      </c>
      <c r="C238" t="s">
        <v>235</v>
      </c>
      <c r="D238" s="8">
        <v>12575127</v>
      </c>
      <c r="E238" t="s">
        <v>13</v>
      </c>
      <c r="F238" t="s">
        <v>67</v>
      </c>
      <c r="G238" t="s">
        <v>68</v>
      </c>
      <c r="H238">
        <v>1164</v>
      </c>
      <c r="I238">
        <v>10084.93</v>
      </c>
      <c r="J238" t="s">
        <v>91</v>
      </c>
      <c r="K238" t="s">
        <v>70</v>
      </c>
      <c r="L238" t="s">
        <v>71</v>
      </c>
      <c r="M238" t="s">
        <v>72</v>
      </c>
      <c r="N238">
        <v>2.31</v>
      </c>
      <c r="O238">
        <v>0.31000000000000005</v>
      </c>
      <c r="P238">
        <v>156</v>
      </c>
      <c r="Q238">
        <v>2</v>
      </c>
    </row>
    <row r="239" spans="1:17" x14ac:dyDescent="0.2">
      <c r="A239" t="s">
        <v>314</v>
      </c>
      <c r="B239" t="s">
        <v>315</v>
      </c>
      <c r="C239" t="s">
        <v>235</v>
      </c>
      <c r="D239" s="8">
        <v>12618906</v>
      </c>
      <c r="E239" t="s">
        <v>105</v>
      </c>
      <c r="F239" t="s">
        <v>67</v>
      </c>
      <c r="G239" t="s">
        <v>68</v>
      </c>
      <c r="H239">
        <v>6</v>
      </c>
      <c r="I239">
        <v>710.94</v>
      </c>
      <c r="J239" t="s">
        <v>91</v>
      </c>
      <c r="K239" t="s">
        <v>70</v>
      </c>
      <c r="L239" t="s">
        <v>71</v>
      </c>
      <c r="M239" t="s">
        <v>72</v>
      </c>
      <c r="N239">
        <v>1</v>
      </c>
      <c r="O239">
        <v>0</v>
      </c>
      <c r="P239">
        <v>0</v>
      </c>
      <c r="Q239">
        <v>1</v>
      </c>
    </row>
    <row r="240" spans="1:17" x14ac:dyDescent="0.2">
      <c r="A240" t="s">
        <v>314</v>
      </c>
      <c r="B240" t="s">
        <v>315</v>
      </c>
      <c r="C240" t="s">
        <v>235</v>
      </c>
      <c r="D240" s="8">
        <v>12560070</v>
      </c>
      <c r="E240" t="s">
        <v>15</v>
      </c>
      <c r="F240" t="s">
        <v>67</v>
      </c>
      <c r="G240" t="s">
        <v>68</v>
      </c>
      <c r="H240">
        <v>128</v>
      </c>
      <c r="I240">
        <v>612.46</v>
      </c>
      <c r="J240" t="s">
        <v>91</v>
      </c>
      <c r="K240" t="s">
        <v>70</v>
      </c>
      <c r="L240" t="s">
        <v>71</v>
      </c>
      <c r="M240" t="s">
        <v>72</v>
      </c>
      <c r="N240">
        <v>0.13</v>
      </c>
      <c r="O240">
        <v>0.12999999999999989</v>
      </c>
      <c r="P240">
        <v>128</v>
      </c>
      <c r="Q240">
        <v>0</v>
      </c>
    </row>
    <row r="241" spans="1:17" x14ac:dyDescent="0.2">
      <c r="A241" t="s">
        <v>317</v>
      </c>
      <c r="B241" t="s">
        <v>318</v>
      </c>
      <c r="C241" t="s">
        <v>319</v>
      </c>
      <c r="D241" s="8">
        <v>12436421</v>
      </c>
      <c r="E241" t="s">
        <v>6</v>
      </c>
      <c r="F241" t="s">
        <v>67</v>
      </c>
      <c r="G241" t="s">
        <v>68</v>
      </c>
      <c r="H241">
        <v>8</v>
      </c>
      <c r="I241">
        <v>85.97</v>
      </c>
      <c r="J241" t="s">
        <v>91</v>
      </c>
      <c r="K241" t="s">
        <v>70</v>
      </c>
      <c r="L241" t="s">
        <v>71</v>
      </c>
      <c r="M241" t="s">
        <v>72</v>
      </c>
      <c r="N241">
        <v>0.04</v>
      </c>
      <c r="O241">
        <v>4.0000000000000036E-2</v>
      </c>
      <c r="P241">
        <v>8</v>
      </c>
      <c r="Q241">
        <v>0</v>
      </c>
    </row>
    <row r="242" spans="1:17" x14ac:dyDescent="0.2">
      <c r="A242" t="s">
        <v>320</v>
      </c>
      <c r="B242" t="s">
        <v>321</v>
      </c>
      <c r="C242" t="s">
        <v>322</v>
      </c>
      <c r="D242" s="8">
        <v>12436421</v>
      </c>
      <c r="E242" t="s">
        <v>6</v>
      </c>
      <c r="F242" t="s">
        <v>67</v>
      </c>
      <c r="G242" t="s">
        <v>68</v>
      </c>
      <c r="H242">
        <v>8</v>
      </c>
      <c r="I242">
        <v>85.97</v>
      </c>
      <c r="J242" t="s">
        <v>91</v>
      </c>
      <c r="K242" t="s">
        <v>70</v>
      </c>
      <c r="L242" t="s">
        <v>71</v>
      </c>
      <c r="M242" t="s">
        <v>72</v>
      </c>
      <c r="N242">
        <v>0.04</v>
      </c>
      <c r="O242">
        <v>4.0000000000000036E-2</v>
      </c>
      <c r="P242">
        <v>8</v>
      </c>
      <c r="Q242">
        <v>0</v>
      </c>
    </row>
    <row r="243" spans="1:17" x14ac:dyDescent="0.2">
      <c r="A243" t="s">
        <v>323</v>
      </c>
      <c r="B243" t="s">
        <v>324</v>
      </c>
      <c r="C243" t="s">
        <v>325</v>
      </c>
      <c r="D243" s="8">
        <v>12436421</v>
      </c>
      <c r="E243" t="s">
        <v>6</v>
      </c>
      <c r="F243" t="s">
        <v>67</v>
      </c>
      <c r="G243" t="s">
        <v>68</v>
      </c>
      <c r="H243">
        <v>8</v>
      </c>
      <c r="I243">
        <v>85.97</v>
      </c>
      <c r="J243" t="s">
        <v>91</v>
      </c>
      <c r="K243" t="s">
        <v>70</v>
      </c>
      <c r="L243" t="s">
        <v>71</v>
      </c>
      <c r="M243" t="s">
        <v>72</v>
      </c>
      <c r="N243">
        <v>0.04</v>
      </c>
      <c r="O243">
        <v>4.0000000000000036E-2</v>
      </c>
      <c r="P243">
        <v>8</v>
      </c>
      <c r="Q243">
        <v>0</v>
      </c>
    </row>
    <row r="244" spans="1:17" x14ac:dyDescent="0.2">
      <c r="A244" t="s">
        <v>326</v>
      </c>
      <c r="B244" t="s">
        <v>327</v>
      </c>
      <c r="C244" t="s">
        <v>328</v>
      </c>
      <c r="D244" s="8">
        <v>43564</v>
      </c>
      <c r="E244" t="s">
        <v>97</v>
      </c>
      <c r="F244" t="s">
        <v>67</v>
      </c>
      <c r="G244" t="s">
        <v>68</v>
      </c>
      <c r="H244">
        <v>2</v>
      </c>
      <c r="I244">
        <v>134.53</v>
      </c>
      <c r="J244" t="s">
        <v>78</v>
      </c>
      <c r="K244" t="s">
        <v>70</v>
      </c>
      <c r="L244" t="s">
        <v>239</v>
      </c>
      <c r="M244" t="s">
        <v>72</v>
      </c>
      <c r="N244">
        <v>2</v>
      </c>
      <c r="O244">
        <v>0</v>
      </c>
      <c r="P244">
        <v>0</v>
      </c>
      <c r="Q244">
        <v>2</v>
      </c>
    </row>
    <row r="245" spans="1:17" x14ac:dyDescent="0.2">
      <c r="A245" t="s">
        <v>326</v>
      </c>
      <c r="B245" t="s">
        <v>327</v>
      </c>
      <c r="C245" t="s">
        <v>328</v>
      </c>
      <c r="D245" s="8">
        <v>12436421</v>
      </c>
      <c r="E245" t="s">
        <v>6</v>
      </c>
      <c r="F245" t="s">
        <v>67</v>
      </c>
      <c r="G245" t="s">
        <v>68</v>
      </c>
      <c r="H245">
        <v>8</v>
      </c>
      <c r="I245">
        <v>85.97</v>
      </c>
      <c r="J245" t="s">
        <v>78</v>
      </c>
      <c r="K245" t="s">
        <v>70</v>
      </c>
      <c r="L245" t="s">
        <v>239</v>
      </c>
      <c r="M245" t="s">
        <v>72</v>
      </c>
      <c r="N245">
        <v>0.04</v>
      </c>
      <c r="O245">
        <v>4.0000000000000036E-2</v>
      </c>
      <c r="P245">
        <v>8</v>
      </c>
      <c r="Q245">
        <v>0</v>
      </c>
    </row>
    <row r="246" spans="1:17" x14ac:dyDescent="0.2">
      <c r="A246" t="s">
        <v>329</v>
      </c>
      <c r="B246" t="s">
        <v>330</v>
      </c>
      <c r="C246" t="s">
        <v>331</v>
      </c>
      <c r="D246" s="8">
        <v>43564</v>
      </c>
      <c r="E246" t="s">
        <v>97</v>
      </c>
      <c r="F246" t="s">
        <v>67</v>
      </c>
      <c r="G246" t="s">
        <v>68</v>
      </c>
      <c r="H246">
        <v>2</v>
      </c>
      <c r="I246">
        <v>134.53</v>
      </c>
      <c r="J246" t="s">
        <v>78</v>
      </c>
      <c r="K246" t="s">
        <v>70</v>
      </c>
      <c r="L246" t="s">
        <v>239</v>
      </c>
      <c r="M246" t="s">
        <v>72</v>
      </c>
      <c r="N246">
        <v>2</v>
      </c>
      <c r="O246">
        <v>0</v>
      </c>
      <c r="P246">
        <v>0</v>
      </c>
      <c r="Q246">
        <v>2</v>
      </c>
    </row>
    <row r="247" spans="1:17" x14ac:dyDescent="0.2">
      <c r="A247" t="s">
        <v>332</v>
      </c>
      <c r="B247" t="s">
        <v>333</v>
      </c>
      <c r="C247" t="s">
        <v>334</v>
      </c>
      <c r="D247" s="8">
        <v>12436421</v>
      </c>
      <c r="E247" t="s">
        <v>6</v>
      </c>
      <c r="F247" t="s">
        <v>67</v>
      </c>
      <c r="G247" t="s">
        <v>68</v>
      </c>
      <c r="H247">
        <v>8</v>
      </c>
      <c r="I247">
        <v>85.97</v>
      </c>
      <c r="J247" t="s">
        <v>78</v>
      </c>
      <c r="K247" t="s">
        <v>70</v>
      </c>
      <c r="L247" t="s">
        <v>239</v>
      </c>
      <c r="M247" t="s">
        <v>72</v>
      </c>
      <c r="N247">
        <v>0.04</v>
      </c>
      <c r="O247">
        <v>4.0000000000000036E-2</v>
      </c>
      <c r="P247">
        <v>8</v>
      </c>
      <c r="Q247">
        <v>0</v>
      </c>
    </row>
    <row r="248" spans="1:17" x14ac:dyDescent="0.2">
      <c r="A248" t="s">
        <v>332</v>
      </c>
      <c r="B248" t="s">
        <v>333</v>
      </c>
      <c r="C248" t="s">
        <v>334</v>
      </c>
      <c r="D248" s="8">
        <v>12575127</v>
      </c>
      <c r="E248" t="s">
        <v>13</v>
      </c>
      <c r="F248" t="s">
        <v>67</v>
      </c>
      <c r="G248" t="s">
        <v>68</v>
      </c>
      <c r="H248">
        <v>24</v>
      </c>
      <c r="I248">
        <v>207.94</v>
      </c>
      <c r="J248" t="s">
        <v>78</v>
      </c>
      <c r="K248" t="s">
        <v>70</v>
      </c>
      <c r="L248" t="s">
        <v>239</v>
      </c>
      <c r="M248" t="s">
        <v>72</v>
      </c>
      <c r="N248">
        <v>0.05</v>
      </c>
      <c r="O248">
        <v>5.0000000000000044E-2</v>
      </c>
      <c r="P248">
        <v>24</v>
      </c>
      <c r="Q248">
        <v>0</v>
      </c>
    </row>
    <row r="249" spans="1:17" x14ac:dyDescent="0.2">
      <c r="A249" t="s">
        <v>335</v>
      </c>
      <c r="B249" t="s">
        <v>336</v>
      </c>
      <c r="C249" t="s">
        <v>337</v>
      </c>
      <c r="D249" s="8">
        <v>12613402</v>
      </c>
      <c r="E249" t="s">
        <v>73</v>
      </c>
      <c r="F249" t="s">
        <v>67</v>
      </c>
      <c r="G249" t="s">
        <v>68</v>
      </c>
      <c r="H249">
        <v>48</v>
      </c>
      <c r="I249">
        <v>146.63</v>
      </c>
      <c r="J249" t="s">
        <v>78</v>
      </c>
      <c r="K249" t="s">
        <v>70</v>
      </c>
      <c r="L249" t="s">
        <v>239</v>
      </c>
      <c r="M249" t="s">
        <v>72</v>
      </c>
      <c r="N249">
        <v>0.05</v>
      </c>
      <c r="O249">
        <v>5.0000000000000044E-2</v>
      </c>
      <c r="P249">
        <v>48</v>
      </c>
      <c r="Q249">
        <v>0</v>
      </c>
    </row>
    <row r="250" spans="1:17" x14ac:dyDescent="0.2">
      <c r="A250" t="s">
        <v>335</v>
      </c>
      <c r="B250" t="s">
        <v>336</v>
      </c>
      <c r="C250" t="s">
        <v>337</v>
      </c>
      <c r="D250" s="8">
        <v>12605994</v>
      </c>
      <c r="E250" t="s">
        <v>85</v>
      </c>
      <c r="F250" t="s">
        <v>67</v>
      </c>
      <c r="G250" t="s">
        <v>68</v>
      </c>
      <c r="H250">
        <v>6</v>
      </c>
      <c r="I250">
        <v>112.5</v>
      </c>
      <c r="J250" t="s">
        <v>78</v>
      </c>
      <c r="K250" t="s">
        <v>70</v>
      </c>
      <c r="L250" t="s">
        <v>239</v>
      </c>
      <c r="M250" t="s">
        <v>72</v>
      </c>
      <c r="N250">
        <v>0.04</v>
      </c>
      <c r="O250">
        <v>4.0000000000000036E-2</v>
      </c>
      <c r="P250">
        <v>6</v>
      </c>
      <c r="Q250">
        <v>0</v>
      </c>
    </row>
    <row r="251" spans="1:17" x14ac:dyDescent="0.2">
      <c r="A251" t="s">
        <v>335</v>
      </c>
      <c r="B251" t="s">
        <v>336</v>
      </c>
      <c r="C251" t="s">
        <v>337</v>
      </c>
      <c r="D251" s="8">
        <v>12436421</v>
      </c>
      <c r="E251" t="s">
        <v>6</v>
      </c>
      <c r="F251" t="s">
        <v>67</v>
      </c>
      <c r="G251" t="s">
        <v>68</v>
      </c>
      <c r="H251">
        <v>48</v>
      </c>
      <c r="I251">
        <v>515.83000000000004</v>
      </c>
      <c r="J251" t="s">
        <v>78</v>
      </c>
      <c r="K251" t="s">
        <v>70</v>
      </c>
      <c r="L251" t="s">
        <v>239</v>
      </c>
      <c r="M251" t="s">
        <v>72</v>
      </c>
      <c r="N251">
        <v>0.25</v>
      </c>
      <c r="O251">
        <v>0.25</v>
      </c>
      <c r="P251">
        <v>48</v>
      </c>
      <c r="Q251">
        <v>0</v>
      </c>
    </row>
    <row r="252" spans="1:17" x14ac:dyDescent="0.2">
      <c r="A252" t="s">
        <v>335</v>
      </c>
      <c r="B252" t="s">
        <v>336</v>
      </c>
      <c r="C252" t="s">
        <v>337</v>
      </c>
      <c r="D252" s="8">
        <v>12604367</v>
      </c>
      <c r="E252" t="s">
        <v>82</v>
      </c>
      <c r="F252" t="s">
        <v>67</v>
      </c>
      <c r="G252" t="s">
        <v>68</v>
      </c>
      <c r="H252">
        <v>30</v>
      </c>
      <c r="I252">
        <v>248.36</v>
      </c>
      <c r="J252" t="s">
        <v>78</v>
      </c>
      <c r="K252" t="s">
        <v>70</v>
      </c>
      <c r="L252" t="s">
        <v>239</v>
      </c>
      <c r="M252" t="s">
        <v>72</v>
      </c>
      <c r="N252">
        <v>0.13</v>
      </c>
      <c r="O252">
        <v>0.12999999999999989</v>
      </c>
      <c r="P252">
        <v>30</v>
      </c>
      <c r="Q252">
        <v>0</v>
      </c>
    </row>
    <row r="253" spans="1:17" x14ac:dyDescent="0.2">
      <c r="A253" t="s">
        <v>335</v>
      </c>
      <c r="B253" t="s">
        <v>336</v>
      </c>
      <c r="C253" t="s">
        <v>337</v>
      </c>
      <c r="D253" s="8">
        <v>12575127</v>
      </c>
      <c r="E253" t="s">
        <v>13</v>
      </c>
      <c r="F253" t="s">
        <v>67</v>
      </c>
      <c r="G253" t="s">
        <v>68</v>
      </c>
      <c r="H253">
        <v>12</v>
      </c>
      <c r="I253">
        <v>103.97</v>
      </c>
      <c r="J253" t="s">
        <v>78</v>
      </c>
      <c r="K253" t="s">
        <v>70</v>
      </c>
      <c r="L253" t="s">
        <v>239</v>
      </c>
      <c r="M253" t="s">
        <v>72</v>
      </c>
      <c r="N253">
        <v>0.02</v>
      </c>
      <c r="O253">
        <v>2.0000000000000018E-2</v>
      </c>
      <c r="P253">
        <v>12</v>
      </c>
      <c r="Q253">
        <v>0</v>
      </c>
    </row>
    <row r="254" spans="1:17" x14ac:dyDescent="0.2">
      <c r="A254" t="s">
        <v>338</v>
      </c>
      <c r="B254" t="s">
        <v>339</v>
      </c>
      <c r="C254" t="s">
        <v>340</v>
      </c>
      <c r="D254" s="8">
        <v>12575127</v>
      </c>
      <c r="E254" t="s">
        <v>13</v>
      </c>
      <c r="F254" t="s">
        <v>67</v>
      </c>
      <c r="G254" t="s">
        <v>68</v>
      </c>
      <c r="H254">
        <v>12</v>
      </c>
      <c r="I254">
        <v>103.97</v>
      </c>
      <c r="J254" t="s">
        <v>77</v>
      </c>
      <c r="K254" t="s">
        <v>70</v>
      </c>
      <c r="L254" t="s">
        <v>239</v>
      </c>
      <c r="M254" t="s">
        <v>72</v>
      </c>
      <c r="N254">
        <v>0.02</v>
      </c>
      <c r="O254">
        <v>2.0000000000000018E-2</v>
      </c>
      <c r="P254">
        <v>12</v>
      </c>
      <c r="Q254">
        <v>0</v>
      </c>
    </row>
    <row r="255" spans="1:17" x14ac:dyDescent="0.2">
      <c r="A255" t="s">
        <v>341</v>
      </c>
      <c r="B255" t="s">
        <v>342</v>
      </c>
      <c r="C255" t="s">
        <v>343</v>
      </c>
      <c r="D255" s="8">
        <v>43564</v>
      </c>
      <c r="E255" t="s">
        <v>97</v>
      </c>
      <c r="F255" t="s">
        <v>67</v>
      </c>
      <c r="G255" t="s">
        <v>68</v>
      </c>
      <c r="H255">
        <v>1</v>
      </c>
      <c r="I255">
        <v>67.27</v>
      </c>
      <c r="J255" t="s">
        <v>69</v>
      </c>
      <c r="K255" t="s">
        <v>70</v>
      </c>
      <c r="L255" t="s">
        <v>71</v>
      </c>
      <c r="M255" t="s">
        <v>72</v>
      </c>
      <c r="N255">
        <v>1</v>
      </c>
      <c r="O255">
        <v>0</v>
      </c>
      <c r="P255">
        <v>0</v>
      </c>
      <c r="Q255">
        <v>1</v>
      </c>
    </row>
    <row r="256" spans="1:17" x14ac:dyDescent="0.2">
      <c r="A256" t="s">
        <v>341</v>
      </c>
      <c r="B256" t="s">
        <v>342</v>
      </c>
      <c r="C256" t="s">
        <v>343</v>
      </c>
      <c r="D256" s="8">
        <v>12613402</v>
      </c>
      <c r="E256" t="s">
        <v>73</v>
      </c>
      <c r="F256" t="s">
        <v>67</v>
      </c>
      <c r="G256" t="s">
        <v>68</v>
      </c>
      <c r="H256">
        <v>6</v>
      </c>
      <c r="I256">
        <v>18.32</v>
      </c>
      <c r="J256" t="s">
        <v>69</v>
      </c>
      <c r="K256" t="s">
        <v>70</v>
      </c>
      <c r="L256" t="s">
        <v>71</v>
      </c>
      <c r="M256" t="s">
        <v>72</v>
      </c>
      <c r="N256">
        <v>0.01</v>
      </c>
      <c r="O256">
        <v>1.0000000000000009E-2</v>
      </c>
      <c r="P256">
        <v>6</v>
      </c>
      <c r="Q256">
        <v>0</v>
      </c>
    </row>
    <row r="257" spans="1:17" x14ac:dyDescent="0.2">
      <c r="A257" t="s">
        <v>341</v>
      </c>
      <c r="B257" t="s">
        <v>342</v>
      </c>
      <c r="C257" t="s">
        <v>343</v>
      </c>
      <c r="D257" s="8">
        <v>12605994</v>
      </c>
      <c r="E257" t="s">
        <v>85</v>
      </c>
      <c r="F257" t="s">
        <v>67</v>
      </c>
      <c r="G257" t="s">
        <v>68</v>
      </c>
      <c r="H257">
        <v>2</v>
      </c>
      <c r="I257">
        <v>37.5</v>
      </c>
      <c r="J257" t="s">
        <v>69</v>
      </c>
      <c r="K257" t="s">
        <v>70</v>
      </c>
      <c r="L257" t="s">
        <v>71</v>
      </c>
      <c r="M257" t="s">
        <v>72</v>
      </c>
      <c r="N257">
        <v>0.01</v>
      </c>
      <c r="O257">
        <v>1.0000000000000009E-2</v>
      </c>
      <c r="P257">
        <v>2</v>
      </c>
      <c r="Q257">
        <v>0</v>
      </c>
    </row>
    <row r="258" spans="1:17" x14ac:dyDescent="0.2">
      <c r="A258" t="s">
        <v>341</v>
      </c>
      <c r="B258" t="s">
        <v>342</v>
      </c>
      <c r="C258" t="s">
        <v>343</v>
      </c>
      <c r="D258" s="8">
        <v>12436421</v>
      </c>
      <c r="E258" t="s">
        <v>6</v>
      </c>
      <c r="F258" t="s">
        <v>67</v>
      </c>
      <c r="G258" t="s">
        <v>68</v>
      </c>
      <c r="H258">
        <v>4</v>
      </c>
      <c r="I258">
        <v>42.99</v>
      </c>
      <c r="J258" t="s">
        <v>69</v>
      </c>
      <c r="K258" t="s">
        <v>70</v>
      </c>
      <c r="L258" t="s">
        <v>71</v>
      </c>
      <c r="M258" t="s">
        <v>72</v>
      </c>
      <c r="N258">
        <v>0.02</v>
      </c>
      <c r="O258">
        <v>2.0000000000000018E-2</v>
      </c>
      <c r="P258">
        <v>4</v>
      </c>
      <c r="Q258">
        <v>0</v>
      </c>
    </row>
    <row r="259" spans="1:17" x14ac:dyDescent="0.2">
      <c r="A259" t="s">
        <v>341</v>
      </c>
      <c r="B259" t="s">
        <v>342</v>
      </c>
      <c r="C259" t="s">
        <v>343</v>
      </c>
      <c r="D259" s="8">
        <v>12560070</v>
      </c>
      <c r="E259" t="s">
        <v>15</v>
      </c>
      <c r="F259" t="s">
        <v>67</v>
      </c>
      <c r="G259" t="s">
        <v>68</v>
      </c>
      <c r="H259">
        <v>8</v>
      </c>
      <c r="I259">
        <v>38.28</v>
      </c>
      <c r="J259" t="s">
        <v>69</v>
      </c>
      <c r="K259" t="s">
        <v>70</v>
      </c>
      <c r="L259" t="s">
        <v>71</v>
      </c>
      <c r="M259" t="s">
        <v>72</v>
      </c>
      <c r="N259">
        <v>0.01</v>
      </c>
      <c r="O259">
        <v>1.0000000000000009E-2</v>
      </c>
      <c r="P259">
        <v>8</v>
      </c>
      <c r="Q259">
        <v>0</v>
      </c>
    </row>
    <row r="260" spans="1:17" x14ac:dyDescent="0.2">
      <c r="A260" t="s">
        <v>344</v>
      </c>
      <c r="B260" t="s">
        <v>345</v>
      </c>
      <c r="C260" t="s">
        <v>346</v>
      </c>
      <c r="D260" s="8">
        <v>12613402</v>
      </c>
      <c r="E260" t="s">
        <v>73</v>
      </c>
      <c r="F260" t="s">
        <v>67</v>
      </c>
      <c r="G260" t="s">
        <v>68</v>
      </c>
      <c r="H260">
        <v>12</v>
      </c>
      <c r="I260">
        <v>36.659999999999997</v>
      </c>
      <c r="J260" t="s">
        <v>69</v>
      </c>
      <c r="K260" t="s">
        <v>70</v>
      </c>
      <c r="L260" t="s">
        <v>71</v>
      </c>
      <c r="M260" t="s">
        <v>72</v>
      </c>
      <c r="N260">
        <v>0.01</v>
      </c>
      <c r="O260">
        <v>1.0000000000000009E-2</v>
      </c>
      <c r="P260">
        <v>12</v>
      </c>
      <c r="Q260">
        <v>0</v>
      </c>
    </row>
    <row r="261" spans="1:17" x14ac:dyDescent="0.2">
      <c r="A261" t="s">
        <v>344</v>
      </c>
      <c r="B261" t="s">
        <v>345</v>
      </c>
      <c r="C261" t="s">
        <v>346</v>
      </c>
      <c r="D261" s="8">
        <v>12605994</v>
      </c>
      <c r="E261" t="s">
        <v>85</v>
      </c>
      <c r="F261" t="s">
        <v>67</v>
      </c>
      <c r="G261" t="s">
        <v>68</v>
      </c>
      <c r="H261">
        <v>2</v>
      </c>
      <c r="I261">
        <v>37.5</v>
      </c>
      <c r="J261" t="s">
        <v>69</v>
      </c>
      <c r="K261" t="s">
        <v>70</v>
      </c>
      <c r="L261" t="s">
        <v>71</v>
      </c>
      <c r="M261" t="s">
        <v>72</v>
      </c>
      <c r="N261">
        <v>0.01</v>
      </c>
      <c r="O261">
        <v>1.0000000000000009E-2</v>
      </c>
      <c r="P261">
        <v>2</v>
      </c>
      <c r="Q261">
        <v>0</v>
      </c>
    </row>
    <row r="262" spans="1:17" x14ac:dyDescent="0.2">
      <c r="A262" t="s">
        <v>344</v>
      </c>
      <c r="B262" t="s">
        <v>345</v>
      </c>
      <c r="C262" t="s">
        <v>346</v>
      </c>
      <c r="D262" s="8">
        <v>12436421</v>
      </c>
      <c r="E262" t="s">
        <v>6</v>
      </c>
      <c r="F262" t="s">
        <v>67</v>
      </c>
      <c r="G262" t="s">
        <v>68</v>
      </c>
      <c r="H262">
        <v>4</v>
      </c>
      <c r="I262">
        <v>42.99</v>
      </c>
      <c r="J262" t="s">
        <v>69</v>
      </c>
      <c r="K262" t="s">
        <v>70</v>
      </c>
      <c r="L262" t="s">
        <v>71</v>
      </c>
      <c r="M262" t="s">
        <v>72</v>
      </c>
      <c r="N262">
        <v>0.02</v>
      </c>
      <c r="O262">
        <v>2.0000000000000018E-2</v>
      </c>
      <c r="P262">
        <v>4</v>
      </c>
      <c r="Q262">
        <v>0</v>
      </c>
    </row>
    <row r="263" spans="1:17" x14ac:dyDescent="0.2">
      <c r="A263" t="s">
        <v>344</v>
      </c>
      <c r="B263" t="s">
        <v>345</v>
      </c>
      <c r="C263" t="s">
        <v>346</v>
      </c>
      <c r="D263" s="8">
        <v>12575127</v>
      </c>
      <c r="E263" t="s">
        <v>13</v>
      </c>
      <c r="F263" t="s">
        <v>67</v>
      </c>
      <c r="G263" t="s">
        <v>68</v>
      </c>
      <c r="H263">
        <v>24</v>
      </c>
      <c r="I263">
        <v>207.94</v>
      </c>
      <c r="J263" t="s">
        <v>69</v>
      </c>
      <c r="K263" t="s">
        <v>70</v>
      </c>
      <c r="L263" t="s">
        <v>71</v>
      </c>
      <c r="M263" t="s">
        <v>72</v>
      </c>
      <c r="N263">
        <v>0.05</v>
      </c>
      <c r="O263">
        <v>5.0000000000000044E-2</v>
      </c>
      <c r="P263">
        <v>24</v>
      </c>
      <c r="Q263">
        <v>0</v>
      </c>
    </row>
    <row r="264" spans="1:17" x14ac:dyDescent="0.2">
      <c r="A264" t="s">
        <v>344</v>
      </c>
      <c r="B264" t="s">
        <v>345</v>
      </c>
      <c r="C264" t="s">
        <v>346</v>
      </c>
      <c r="D264" s="8">
        <v>12560070</v>
      </c>
      <c r="E264" t="s">
        <v>15</v>
      </c>
      <c r="F264" t="s">
        <v>67</v>
      </c>
      <c r="G264" t="s">
        <v>68</v>
      </c>
      <c r="H264">
        <v>8</v>
      </c>
      <c r="I264">
        <v>38.28</v>
      </c>
      <c r="J264" t="s">
        <v>69</v>
      </c>
      <c r="K264" t="s">
        <v>70</v>
      </c>
      <c r="L264" t="s">
        <v>71</v>
      </c>
      <c r="M264" t="s">
        <v>72</v>
      </c>
      <c r="N264">
        <v>0.01</v>
      </c>
      <c r="O264">
        <v>1.0000000000000009E-2</v>
      </c>
      <c r="P264">
        <v>8</v>
      </c>
      <c r="Q264">
        <v>0</v>
      </c>
    </row>
    <row r="265" spans="1:17" x14ac:dyDescent="0.2">
      <c r="A265" t="s">
        <v>347</v>
      </c>
      <c r="B265" t="s">
        <v>348</v>
      </c>
      <c r="C265" t="s">
        <v>349</v>
      </c>
      <c r="D265" s="8">
        <v>12613402</v>
      </c>
      <c r="E265" t="s">
        <v>73</v>
      </c>
      <c r="F265" t="s">
        <v>67</v>
      </c>
      <c r="G265" t="s">
        <v>68</v>
      </c>
      <c r="H265">
        <v>48</v>
      </c>
      <c r="I265">
        <v>146.63</v>
      </c>
      <c r="J265" t="s">
        <v>78</v>
      </c>
      <c r="K265" t="s">
        <v>70</v>
      </c>
      <c r="L265" t="s">
        <v>71</v>
      </c>
      <c r="M265" t="s">
        <v>72</v>
      </c>
      <c r="N265">
        <v>0.05</v>
      </c>
      <c r="O265">
        <v>5.0000000000000044E-2</v>
      </c>
      <c r="P265">
        <v>48</v>
      </c>
      <c r="Q265">
        <v>0</v>
      </c>
    </row>
    <row r="266" spans="1:17" x14ac:dyDescent="0.2">
      <c r="A266" t="s">
        <v>347</v>
      </c>
      <c r="B266" t="s">
        <v>348</v>
      </c>
      <c r="C266" t="s">
        <v>349</v>
      </c>
      <c r="D266" s="8">
        <v>12604416</v>
      </c>
      <c r="E266" t="s">
        <v>146</v>
      </c>
      <c r="F266" t="s">
        <v>67</v>
      </c>
      <c r="G266" t="s">
        <v>68</v>
      </c>
      <c r="H266">
        <v>10</v>
      </c>
      <c r="I266">
        <v>74.45</v>
      </c>
      <c r="J266" t="s">
        <v>78</v>
      </c>
      <c r="K266" t="s">
        <v>70</v>
      </c>
      <c r="L266" t="s">
        <v>71</v>
      </c>
      <c r="M266" t="s">
        <v>72</v>
      </c>
      <c r="N266">
        <v>0.02</v>
      </c>
      <c r="O266">
        <v>2.0000000000000018E-2</v>
      </c>
      <c r="P266">
        <v>10</v>
      </c>
      <c r="Q266">
        <v>0</v>
      </c>
    </row>
    <row r="267" spans="1:17" x14ac:dyDescent="0.2">
      <c r="A267" t="s">
        <v>350</v>
      </c>
      <c r="B267" t="s">
        <v>351</v>
      </c>
      <c r="C267" t="s">
        <v>352</v>
      </c>
      <c r="D267" s="8">
        <v>12575127</v>
      </c>
      <c r="E267" t="s">
        <v>13</v>
      </c>
      <c r="F267" t="s">
        <v>67</v>
      </c>
      <c r="G267" t="s">
        <v>68</v>
      </c>
      <c r="H267">
        <v>24</v>
      </c>
      <c r="I267">
        <v>207.94</v>
      </c>
      <c r="J267" t="s">
        <v>78</v>
      </c>
      <c r="K267" t="s">
        <v>70</v>
      </c>
      <c r="L267" t="s">
        <v>71</v>
      </c>
      <c r="M267" t="s">
        <v>72</v>
      </c>
      <c r="N267">
        <v>0.05</v>
      </c>
      <c r="O267">
        <v>5.0000000000000044E-2</v>
      </c>
      <c r="P267">
        <v>24</v>
      </c>
      <c r="Q267">
        <v>0</v>
      </c>
    </row>
    <row r="268" spans="1:17" x14ac:dyDescent="0.2">
      <c r="A268" t="s">
        <v>353</v>
      </c>
      <c r="B268" t="s">
        <v>354</v>
      </c>
      <c r="C268" t="s">
        <v>355</v>
      </c>
      <c r="D268" s="8">
        <v>12613402</v>
      </c>
      <c r="E268" t="s">
        <v>73</v>
      </c>
      <c r="F268" t="s">
        <v>67</v>
      </c>
      <c r="G268" t="s">
        <v>68</v>
      </c>
      <c r="H268">
        <v>48</v>
      </c>
      <c r="I268">
        <v>146.63</v>
      </c>
      <c r="J268" t="s">
        <v>78</v>
      </c>
      <c r="K268" t="s">
        <v>70</v>
      </c>
      <c r="L268" t="s">
        <v>71</v>
      </c>
      <c r="M268" t="s">
        <v>72</v>
      </c>
      <c r="N268">
        <v>0.05</v>
      </c>
      <c r="O268">
        <v>5.0000000000000044E-2</v>
      </c>
      <c r="P268">
        <v>48</v>
      </c>
      <c r="Q268">
        <v>0</v>
      </c>
    </row>
    <row r="269" spans="1:17" x14ac:dyDescent="0.2">
      <c r="A269" t="s">
        <v>353</v>
      </c>
      <c r="B269" t="s">
        <v>354</v>
      </c>
      <c r="C269" t="s">
        <v>355</v>
      </c>
      <c r="D269" s="8">
        <v>12604416</v>
      </c>
      <c r="E269" t="s">
        <v>146</v>
      </c>
      <c r="F269" t="s">
        <v>67</v>
      </c>
      <c r="G269" t="s">
        <v>68</v>
      </c>
      <c r="H269">
        <v>10</v>
      </c>
      <c r="I269">
        <v>74.45</v>
      </c>
      <c r="J269" t="s">
        <v>78</v>
      </c>
      <c r="K269" t="s">
        <v>70</v>
      </c>
      <c r="L269" t="s">
        <v>71</v>
      </c>
      <c r="M269" t="s">
        <v>72</v>
      </c>
      <c r="N269">
        <v>0.02</v>
      </c>
      <c r="O269">
        <v>2.0000000000000018E-2</v>
      </c>
      <c r="P269">
        <v>10</v>
      </c>
      <c r="Q269">
        <v>0</v>
      </c>
    </row>
    <row r="270" spans="1:17" x14ac:dyDescent="0.2">
      <c r="A270" t="s">
        <v>356</v>
      </c>
      <c r="B270" t="s">
        <v>357</v>
      </c>
      <c r="C270" t="s">
        <v>358</v>
      </c>
      <c r="D270" s="8">
        <v>12436421</v>
      </c>
      <c r="E270" t="s">
        <v>6</v>
      </c>
      <c r="F270" t="s">
        <v>67</v>
      </c>
      <c r="G270" t="s">
        <v>68</v>
      </c>
      <c r="H270">
        <v>24</v>
      </c>
      <c r="I270">
        <v>257.91000000000003</v>
      </c>
      <c r="J270" t="s">
        <v>78</v>
      </c>
      <c r="K270" t="s">
        <v>70</v>
      </c>
      <c r="L270" t="s">
        <v>71</v>
      </c>
      <c r="M270" t="s">
        <v>72</v>
      </c>
      <c r="N270">
        <v>0.13</v>
      </c>
      <c r="O270">
        <v>0.12999999999999989</v>
      </c>
      <c r="P270">
        <v>24</v>
      </c>
      <c r="Q270">
        <v>0</v>
      </c>
    </row>
    <row r="271" spans="1:17" x14ac:dyDescent="0.2">
      <c r="A271" t="s">
        <v>359</v>
      </c>
      <c r="B271" t="s">
        <v>360</v>
      </c>
      <c r="C271" t="s">
        <v>361</v>
      </c>
      <c r="D271" s="8">
        <v>12436421</v>
      </c>
      <c r="E271" t="s">
        <v>6</v>
      </c>
      <c r="F271" t="s">
        <v>67</v>
      </c>
      <c r="G271" t="s">
        <v>68</v>
      </c>
      <c r="H271">
        <v>24</v>
      </c>
      <c r="I271">
        <v>257.91000000000003</v>
      </c>
      <c r="J271" t="s">
        <v>78</v>
      </c>
      <c r="K271" t="s">
        <v>70</v>
      </c>
      <c r="L271" t="s">
        <v>71</v>
      </c>
      <c r="M271" t="s">
        <v>72</v>
      </c>
      <c r="N271">
        <v>0.13</v>
      </c>
      <c r="O271">
        <v>0.12999999999999989</v>
      </c>
      <c r="P271">
        <v>24</v>
      </c>
      <c r="Q271">
        <v>0</v>
      </c>
    </row>
    <row r="272" spans="1:17" x14ac:dyDescent="0.2">
      <c r="A272" t="s">
        <v>362</v>
      </c>
      <c r="B272" t="s">
        <v>363</v>
      </c>
      <c r="C272" t="s">
        <v>364</v>
      </c>
      <c r="D272" s="8">
        <v>12575127</v>
      </c>
      <c r="E272" t="s">
        <v>13</v>
      </c>
      <c r="F272" t="s">
        <v>67</v>
      </c>
      <c r="G272" t="s">
        <v>68</v>
      </c>
      <c r="H272">
        <v>24</v>
      </c>
      <c r="I272">
        <v>207.94</v>
      </c>
      <c r="J272" t="s">
        <v>78</v>
      </c>
      <c r="K272" t="s">
        <v>70</v>
      </c>
      <c r="L272" t="s">
        <v>71</v>
      </c>
      <c r="M272" t="s">
        <v>72</v>
      </c>
      <c r="N272">
        <v>0.05</v>
      </c>
      <c r="O272">
        <v>5.0000000000000044E-2</v>
      </c>
      <c r="P272">
        <v>24</v>
      </c>
      <c r="Q272">
        <v>0</v>
      </c>
    </row>
    <row r="273" spans="1:17" x14ac:dyDescent="0.2">
      <c r="A273" t="s">
        <v>365</v>
      </c>
      <c r="B273" t="s">
        <v>366</v>
      </c>
      <c r="C273" t="s">
        <v>367</v>
      </c>
      <c r="D273" s="8">
        <v>12613402</v>
      </c>
      <c r="E273" t="s">
        <v>73</v>
      </c>
      <c r="F273" t="s">
        <v>67</v>
      </c>
      <c r="G273" t="s">
        <v>68</v>
      </c>
      <c r="H273">
        <v>240</v>
      </c>
      <c r="I273">
        <v>733.15</v>
      </c>
      <c r="J273" t="s">
        <v>78</v>
      </c>
      <c r="K273" t="s">
        <v>70</v>
      </c>
      <c r="L273" t="s">
        <v>71</v>
      </c>
      <c r="M273" t="s">
        <v>72</v>
      </c>
      <c r="N273">
        <v>0.24</v>
      </c>
      <c r="O273">
        <v>0.24</v>
      </c>
      <c r="P273">
        <v>240</v>
      </c>
      <c r="Q273">
        <v>0</v>
      </c>
    </row>
    <row r="274" spans="1:17" x14ac:dyDescent="0.2">
      <c r="A274" t="s">
        <v>365</v>
      </c>
      <c r="B274" t="s">
        <v>366</v>
      </c>
      <c r="C274" t="s">
        <v>367</v>
      </c>
      <c r="D274" s="8">
        <v>12589940</v>
      </c>
      <c r="E274" t="s">
        <v>81</v>
      </c>
      <c r="F274" t="s">
        <v>67</v>
      </c>
      <c r="G274" t="s">
        <v>68</v>
      </c>
      <c r="H274">
        <v>4</v>
      </c>
      <c r="I274">
        <v>731.07</v>
      </c>
      <c r="J274" t="s">
        <v>78</v>
      </c>
      <c r="K274" t="s">
        <v>70</v>
      </c>
      <c r="L274" t="s">
        <v>71</v>
      </c>
      <c r="M274" t="s">
        <v>72</v>
      </c>
      <c r="N274">
        <v>0.22</v>
      </c>
      <c r="O274">
        <v>0.21999999999999997</v>
      </c>
      <c r="P274">
        <v>4</v>
      </c>
      <c r="Q274">
        <v>0</v>
      </c>
    </row>
    <row r="275" spans="1:17" x14ac:dyDescent="0.2">
      <c r="A275" t="s">
        <v>365</v>
      </c>
      <c r="B275" t="s">
        <v>366</v>
      </c>
      <c r="C275" t="s">
        <v>367</v>
      </c>
      <c r="D275" s="8">
        <v>12436421</v>
      </c>
      <c r="E275" t="s">
        <v>6</v>
      </c>
      <c r="F275" t="s">
        <v>67</v>
      </c>
      <c r="G275" t="s">
        <v>68</v>
      </c>
      <c r="H275">
        <v>192</v>
      </c>
      <c r="I275">
        <v>2063.31</v>
      </c>
      <c r="J275" t="s">
        <v>78</v>
      </c>
      <c r="K275" t="s">
        <v>70</v>
      </c>
      <c r="L275" t="s">
        <v>71</v>
      </c>
      <c r="M275" t="s">
        <v>72</v>
      </c>
      <c r="N275">
        <v>1</v>
      </c>
      <c r="O275">
        <v>0</v>
      </c>
      <c r="P275">
        <v>0</v>
      </c>
      <c r="Q275">
        <v>1</v>
      </c>
    </row>
    <row r="276" spans="1:17" x14ac:dyDescent="0.2">
      <c r="A276" t="s">
        <v>365</v>
      </c>
      <c r="B276" t="s">
        <v>366</v>
      </c>
      <c r="C276" t="s">
        <v>367</v>
      </c>
      <c r="D276" s="8">
        <v>14038791</v>
      </c>
      <c r="E276" t="s">
        <v>113</v>
      </c>
      <c r="F276" t="s">
        <v>67</v>
      </c>
      <c r="G276" t="s">
        <v>68</v>
      </c>
      <c r="H276">
        <v>2</v>
      </c>
      <c r="I276">
        <v>228.67</v>
      </c>
      <c r="J276" t="s">
        <v>78</v>
      </c>
      <c r="K276" t="s">
        <v>70</v>
      </c>
      <c r="L276" t="s">
        <v>71</v>
      </c>
      <c r="M276" t="s">
        <v>72</v>
      </c>
      <c r="N276">
        <v>0.1</v>
      </c>
      <c r="O276">
        <v>0.10000000000000009</v>
      </c>
      <c r="P276">
        <v>2</v>
      </c>
      <c r="Q276">
        <v>0</v>
      </c>
    </row>
    <row r="277" spans="1:17" x14ac:dyDescent="0.2">
      <c r="A277" t="s">
        <v>365</v>
      </c>
      <c r="B277" t="s">
        <v>366</v>
      </c>
      <c r="C277" t="s">
        <v>367</v>
      </c>
      <c r="D277" s="8">
        <v>12604368</v>
      </c>
      <c r="E277" t="s">
        <v>74</v>
      </c>
      <c r="F277" t="s">
        <v>67</v>
      </c>
      <c r="G277" t="s">
        <v>68</v>
      </c>
      <c r="H277">
        <v>20</v>
      </c>
      <c r="I277">
        <v>269.07</v>
      </c>
      <c r="J277" t="s">
        <v>78</v>
      </c>
      <c r="K277" t="s">
        <v>70</v>
      </c>
      <c r="L277" t="s">
        <v>71</v>
      </c>
      <c r="M277" t="s">
        <v>72</v>
      </c>
      <c r="N277">
        <v>0.1</v>
      </c>
      <c r="O277">
        <v>0.10000000000000009</v>
      </c>
      <c r="P277">
        <v>20</v>
      </c>
      <c r="Q277">
        <v>0</v>
      </c>
    </row>
    <row r="278" spans="1:17" x14ac:dyDescent="0.2">
      <c r="A278" t="s">
        <v>365</v>
      </c>
      <c r="B278" t="s">
        <v>366</v>
      </c>
      <c r="C278" t="s">
        <v>367</v>
      </c>
      <c r="D278" s="8">
        <v>12592549</v>
      </c>
      <c r="E278" t="s">
        <v>38</v>
      </c>
      <c r="F278" t="s">
        <v>67</v>
      </c>
      <c r="G278" t="s">
        <v>68</v>
      </c>
      <c r="H278">
        <v>6</v>
      </c>
      <c r="I278">
        <v>407.77</v>
      </c>
      <c r="J278" t="s">
        <v>78</v>
      </c>
      <c r="K278" t="s">
        <v>70</v>
      </c>
      <c r="L278" t="s">
        <v>71</v>
      </c>
      <c r="M278" t="s">
        <v>72</v>
      </c>
      <c r="N278">
        <v>0.25</v>
      </c>
      <c r="O278">
        <v>0.25</v>
      </c>
      <c r="P278">
        <v>6</v>
      </c>
      <c r="Q278">
        <v>0</v>
      </c>
    </row>
    <row r="279" spans="1:17" x14ac:dyDescent="0.2">
      <c r="A279" t="s">
        <v>365</v>
      </c>
      <c r="B279" t="s">
        <v>366</v>
      </c>
      <c r="C279" t="s">
        <v>367</v>
      </c>
      <c r="D279" s="8">
        <v>12575135</v>
      </c>
      <c r="E279" t="s">
        <v>141</v>
      </c>
      <c r="F279" t="s">
        <v>67</v>
      </c>
      <c r="G279" t="s">
        <v>68</v>
      </c>
      <c r="H279">
        <v>32</v>
      </c>
      <c r="I279">
        <v>537.34</v>
      </c>
      <c r="J279" t="s">
        <v>78</v>
      </c>
      <c r="K279" t="s">
        <v>70</v>
      </c>
      <c r="L279" t="s">
        <v>71</v>
      </c>
      <c r="M279" t="s">
        <v>72</v>
      </c>
      <c r="N279">
        <v>0.13</v>
      </c>
      <c r="O279">
        <v>0.12999999999999989</v>
      </c>
      <c r="P279">
        <v>32</v>
      </c>
      <c r="Q279">
        <v>0</v>
      </c>
    </row>
    <row r="280" spans="1:17" x14ac:dyDescent="0.2">
      <c r="A280" t="s">
        <v>365</v>
      </c>
      <c r="B280" t="s">
        <v>366</v>
      </c>
      <c r="C280" t="s">
        <v>367</v>
      </c>
      <c r="D280" s="8">
        <v>12618899</v>
      </c>
      <c r="E280" t="s">
        <v>76</v>
      </c>
      <c r="F280" t="s">
        <v>67</v>
      </c>
      <c r="G280" t="s">
        <v>68</v>
      </c>
      <c r="H280">
        <v>12</v>
      </c>
      <c r="I280">
        <v>264.08</v>
      </c>
      <c r="J280" t="s">
        <v>78</v>
      </c>
      <c r="K280" t="s">
        <v>70</v>
      </c>
      <c r="L280" t="s">
        <v>71</v>
      </c>
      <c r="M280" t="s">
        <v>72</v>
      </c>
      <c r="N280">
        <v>0.33</v>
      </c>
      <c r="O280">
        <v>0.33000000000000007</v>
      </c>
      <c r="P280">
        <v>12</v>
      </c>
      <c r="Q280">
        <v>0</v>
      </c>
    </row>
    <row r="281" spans="1:17" x14ac:dyDescent="0.2">
      <c r="A281" t="s">
        <v>365</v>
      </c>
      <c r="B281" t="s">
        <v>366</v>
      </c>
      <c r="C281" t="s">
        <v>367</v>
      </c>
      <c r="D281" s="8">
        <v>12604416</v>
      </c>
      <c r="E281" t="s">
        <v>146</v>
      </c>
      <c r="F281" t="s">
        <v>67</v>
      </c>
      <c r="G281" t="s">
        <v>68</v>
      </c>
      <c r="H281">
        <v>20</v>
      </c>
      <c r="I281">
        <v>148.88999999999999</v>
      </c>
      <c r="J281" t="s">
        <v>78</v>
      </c>
      <c r="K281" t="s">
        <v>70</v>
      </c>
      <c r="L281" t="s">
        <v>71</v>
      </c>
      <c r="M281" t="s">
        <v>72</v>
      </c>
      <c r="N281">
        <v>0.04</v>
      </c>
      <c r="O281">
        <v>4.0000000000000036E-2</v>
      </c>
      <c r="P281">
        <v>20</v>
      </c>
      <c r="Q281">
        <v>0</v>
      </c>
    </row>
    <row r="282" spans="1:17" x14ac:dyDescent="0.2">
      <c r="A282" t="s">
        <v>365</v>
      </c>
      <c r="B282" t="s">
        <v>366</v>
      </c>
      <c r="C282" t="s">
        <v>367</v>
      </c>
      <c r="D282" s="8">
        <v>12592046</v>
      </c>
      <c r="E282" t="s">
        <v>47</v>
      </c>
      <c r="F282" t="s">
        <v>67</v>
      </c>
      <c r="G282" t="s">
        <v>68</v>
      </c>
      <c r="H282">
        <v>2</v>
      </c>
      <c r="I282">
        <v>89.89</v>
      </c>
      <c r="J282" t="s">
        <v>78</v>
      </c>
      <c r="K282" t="s">
        <v>70</v>
      </c>
      <c r="L282" t="s">
        <v>71</v>
      </c>
      <c r="M282" t="s">
        <v>72</v>
      </c>
      <c r="N282">
        <v>0.03</v>
      </c>
      <c r="O282">
        <v>3.0000000000000027E-2</v>
      </c>
      <c r="P282">
        <v>2</v>
      </c>
      <c r="Q282">
        <v>0</v>
      </c>
    </row>
    <row r="283" spans="1:17" x14ac:dyDescent="0.2">
      <c r="A283" t="s">
        <v>365</v>
      </c>
      <c r="B283" t="s">
        <v>366</v>
      </c>
      <c r="C283" t="s">
        <v>367</v>
      </c>
      <c r="D283" s="8">
        <v>12612370</v>
      </c>
      <c r="E283" t="s">
        <v>88</v>
      </c>
      <c r="F283" t="s">
        <v>67</v>
      </c>
      <c r="G283" t="s">
        <v>68</v>
      </c>
      <c r="H283">
        <v>12</v>
      </c>
      <c r="I283">
        <v>162.38</v>
      </c>
      <c r="J283" t="s">
        <v>78</v>
      </c>
      <c r="K283" t="s">
        <v>70</v>
      </c>
      <c r="L283" t="s">
        <v>71</v>
      </c>
      <c r="M283" t="s">
        <v>72</v>
      </c>
      <c r="N283">
        <v>0.2</v>
      </c>
      <c r="O283">
        <v>0.19999999999999996</v>
      </c>
      <c r="P283">
        <v>12</v>
      </c>
      <c r="Q283">
        <v>0</v>
      </c>
    </row>
    <row r="284" spans="1:17" x14ac:dyDescent="0.2">
      <c r="A284" t="s">
        <v>365</v>
      </c>
      <c r="B284" t="s">
        <v>366</v>
      </c>
      <c r="C284" t="s">
        <v>367</v>
      </c>
      <c r="D284" s="8">
        <v>12528208</v>
      </c>
      <c r="E284" t="s">
        <v>8</v>
      </c>
      <c r="F284" t="s">
        <v>67</v>
      </c>
      <c r="G284" t="s">
        <v>68</v>
      </c>
      <c r="H284">
        <v>12</v>
      </c>
      <c r="I284">
        <v>519.42999999999995</v>
      </c>
      <c r="J284" t="s">
        <v>78</v>
      </c>
      <c r="K284" t="s">
        <v>70</v>
      </c>
      <c r="L284" t="s">
        <v>71</v>
      </c>
      <c r="M284" t="s">
        <v>72</v>
      </c>
      <c r="N284">
        <v>0.17</v>
      </c>
      <c r="O284">
        <v>0.16999999999999993</v>
      </c>
      <c r="P284">
        <v>12</v>
      </c>
      <c r="Q284">
        <v>0</v>
      </c>
    </row>
    <row r="285" spans="1:17" x14ac:dyDescent="0.2">
      <c r="A285" t="s">
        <v>365</v>
      </c>
      <c r="B285" t="s">
        <v>366</v>
      </c>
      <c r="C285" t="s">
        <v>367</v>
      </c>
      <c r="D285" s="8">
        <v>12592164</v>
      </c>
      <c r="E285" t="s">
        <v>11</v>
      </c>
      <c r="F285" t="s">
        <v>67</v>
      </c>
      <c r="G285" t="s">
        <v>68</v>
      </c>
      <c r="H285">
        <v>48</v>
      </c>
      <c r="I285">
        <v>91.44</v>
      </c>
      <c r="J285" t="s">
        <v>78</v>
      </c>
      <c r="K285" t="s">
        <v>70</v>
      </c>
      <c r="L285" t="s">
        <v>71</v>
      </c>
      <c r="M285" t="s">
        <v>72</v>
      </c>
      <c r="N285">
        <v>0.05</v>
      </c>
      <c r="O285">
        <v>5.0000000000000044E-2</v>
      </c>
      <c r="P285">
        <v>48</v>
      </c>
      <c r="Q285">
        <v>0</v>
      </c>
    </row>
    <row r="286" spans="1:17" x14ac:dyDescent="0.2">
      <c r="A286" t="s">
        <v>365</v>
      </c>
      <c r="B286" t="s">
        <v>366</v>
      </c>
      <c r="C286" t="s">
        <v>367</v>
      </c>
      <c r="D286" s="8">
        <v>12560070</v>
      </c>
      <c r="E286" t="s">
        <v>15</v>
      </c>
      <c r="F286" t="s">
        <v>67</v>
      </c>
      <c r="G286" t="s">
        <v>68</v>
      </c>
      <c r="H286">
        <v>80</v>
      </c>
      <c r="I286">
        <v>382.79</v>
      </c>
      <c r="J286" t="s">
        <v>78</v>
      </c>
      <c r="K286" t="s">
        <v>70</v>
      </c>
      <c r="L286" t="s">
        <v>71</v>
      </c>
      <c r="M286" t="s">
        <v>72</v>
      </c>
      <c r="N286">
        <v>0.08</v>
      </c>
      <c r="O286">
        <v>8.0000000000000071E-2</v>
      </c>
      <c r="P286">
        <v>80</v>
      </c>
      <c r="Q286">
        <v>0</v>
      </c>
    </row>
    <row r="287" spans="1:17" x14ac:dyDescent="0.2">
      <c r="A287" t="s">
        <v>368</v>
      </c>
      <c r="B287" t="s">
        <v>369</v>
      </c>
      <c r="C287" t="s">
        <v>370</v>
      </c>
      <c r="D287" s="8">
        <v>12613402</v>
      </c>
      <c r="E287" t="s">
        <v>73</v>
      </c>
      <c r="F287" t="s">
        <v>67</v>
      </c>
      <c r="G287" t="s">
        <v>68</v>
      </c>
      <c r="H287">
        <v>48</v>
      </c>
      <c r="I287">
        <v>146.63</v>
      </c>
      <c r="J287" t="s">
        <v>78</v>
      </c>
      <c r="K287" t="s">
        <v>70</v>
      </c>
      <c r="L287" t="s">
        <v>71</v>
      </c>
      <c r="M287" t="s">
        <v>72</v>
      </c>
      <c r="N287">
        <v>0.05</v>
      </c>
      <c r="O287">
        <v>5.0000000000000044E-2</v>
      </c>
      <c r="P287">
        <v>48</v>
      </c>
      <c r="Q287">
        <v>0</v>
      </c>
    </row>
    <row r="288" spans="1:17" x14ac:dyDescent="0.2">
      <c r="A288" t="s">
        <v>368</v>
      </c>
      <c r="B288" t="s">
        <v>369</v>
      </c>
      <c r="C288" t="s">
        <v>370</v>
      </c>
      <c r="D288" s="8">
        <v>12604416</v>
      </c>
      <c r="E288" t="s">
        <v>146</v>
      </c>
      <c r="F288" t="s">
        <v>67</v>
      </c>
      <c r="G288" t="s">
        <v>68</v>
      </c>
      <c r="H288">
        <v>10</v>
      </c>
      <c r="I288">
        <v>74.45</v>
      </c>
      <c r="J288" t="s">
        <v>78</v>
      </c>
      <c r="K288" t="s">
        <v>70</v>
      </c>
      <c r="L288" t="s">
        <v>71</v>
      </c>
      <c r="M288" t="s">
        <v>72</v>
      </c>
      <c r="N288">
        <v>0.02</v>
      </c>
      <c r="O288">
        <v>2.0000000000000018E-2</v>
      </c>
      <c r="P288">
        <v>10</v>
      </c>
      <c r="Q288">
        <v>0</v>
      </c>
    </row>
    <row r="289" spans="1:17" x14ac:dyDescent="0.2">
      <c r="A289" t="s">
        <v>371</v>
      </c>
      <c r="B289" t="s">
        <v>372</v>
      </c>
      <c r="C289" t="s">
        <v>373</v>
      </c>
      <c r="D289" s="8">
        <v>12575127</v>
      </c>
      <c r="E289" t="s">
        <v>13</v>
      </c>
      <c r="F289" t="s">
        <v>67</v>
      </c>
      <c r="G289" t="s">
        <v>68</v>
      </c>
      <c r="H289">
        <v>24</v>
      </c>
      <c r="I289">
        <v>207.94</v>
      </c>
      <c r="J289" t="s">
        <v>91</v>
      </c>
      <c r="K289" t="s">
        <v>70</v>
      </c>
      <c r="L289" t="s">
        <v>71</v>
      </c>
      <c r="M289" t="s">
        <v>72</v>
      </c>
      <c r="N289">
        <v>0.05</v>
      </c>
      <c r="O289">
        <v>5.0000000000000044E-2</v>
      </c>
      <c r="P289">
        <v>24</v>
      </c>
      <c r="Q289">
        <v>0</v>
      </c>
    </row>
    <row r="290" spans="1:17" x14ac:dyDescent="0.2">
      <c r="A290" t="s">
        <v>374</v>
      </c>
      <c r="B290" t="s">
        <v>375</v>
      </c>
      <c r="C290" t="s">
        <v>376</v>
      </c>
      <c r="D290" s="8">
        <v>12613402</v>
      </c>
      <c r="E290" t="s">
        <v>73</v>
      </c>
      <c r="F290" t="s">
        <v>67</v>
      </c>
      <c r="G290" t="s">
        <v>68</v>
      </c>
      <c r="H290">
        <v>48</v>
      </c>
      <c r="I290">
        <v>146.63</v>
      </c>
      <c r="J290" t="s">
        <v>78</v>
      </c>
      <c r="K290" t="s">
        <v>70</v>
      </c>
      <c r="L290" t="s">
        <v>71</v>
      </c>
      <c r="M290" t="s">
        <v>72</v>
      </c>
      <c r="N290">
        <v>0.05</v>
      </c>
      <c r="O290">
        <v>5.0000000000000044E-2</v>
      </c>
      <c r="P290">
        <v>48</v>
      </c>
      <c r="Q290">
        <v>0</v>
      </c>
    </row>
    <row r="291" spans="1:17" x14ac:dyDescent="0.2">
      <c r="A291" t="s">
        <v>374</v>
      </c>
      <c r="B291" t="s">
        <v>375</v>
      </c>
      <c r="C291" t="s">
        <v>376</v>
      </c>
      <c r="D291" s="8">
        <v>12604416</v>
      </c>
      <c r="E291" t="s">
        <v>146</v>
      </c>
      <c r="F291" t="s">
        <v>67</v>
      </c>
      <c r="G291" t="s">
        <v>68</v>
      </c>
      <c r="H291">
        <v>10</v>
      </c>
      <c r="I291">
        <v>74.45</v>
      </c>
      <c r="J291" t="s">
        <v>78</v>
      </c>
      <c r="K291" t="s">
        <v>70</v>
      </c>
      <c r="L291" t="s">
        <v>71</v>
      </c>
      <c r="M291" t="s">
        <v>72</v>
      </c>
      <c r="N291">
        <v>0.02</v>
      </c>
      <c r="O291">
        <v>2.0000000000000018E-2</v>
      </c>
      <c r="P291">
        <v>10</v>
      </c>
      <c r="Q291">
        <v>0</v>
      </c>
    </row>
    <row r="292" spans="1:17" x14ac:dyDescent="0.2">
      <c r="A292" t="s">
        <v>377</v>
      </c>
      <c r="B292" t="s">
        <v>378</v>
      </c>
      <c r="C292" t="s">
        <v>379</v>
      </c>
      <c r="D292" s="8">
        <v>12575127</v>
      </c>
      <c r="E292" t="s">
        <v>13</v>
      </c>
      <c r="F292" t="s">
        <v>67</v>
      </c>
      <c r="G292" t="s">
        <v>68</v>
      </c>
      <c r="H292">
        <v>48</v>
      </c>
      <c r="I292">
        <v>415.88</v>
      </c>
      <c r="J292" t="s">
        <v>91</v>
      </c>
      <c r="K292" t="s">
        <v>70</v>
      </c>
      <c r="L292" t="s">
        <v>71</v>
      </c>
      <c r="M292" t="s">
        <v>72</v>
      </c>
      <c r="N292">
        <v>0.1</v>
      </c>
      <c r="O292">
        <v>0.10000000000000009</v>
      </c>
      <c r="P292">
        <v>48</v>
      </c>
      <c r="Q292">
        <v>0</v>
      </c>
    </row>
    <row r="293" spans="1:17" x14ac:dyDescent="0.2">
      <c r="A293" t="s">
        <v>380</v>
      </c>
      <c r="B293" t="s">
        <v>381</v>
      </c>
      <c r="C293" t="s">
        <v>382</v>
      </c>
      <c r="D293" s="8">
        <v>12575127</v>
      </c>
      <c r="E293" t="s">
        <v>13</v>
      </c>
      <c r="F293" t="s">
        <v>67</v>
      </c>
      <c r="G293" t="s">
        <v>68</v>
      </c>
      <c r="H293">
        <v>48</v>
      </c>
      <c r="I293">
        <v>415.88</v>
      </c>
      <c r="J293" t="s">
        <v>91</v>
      </c>
      <c r="K293" t="s">
        <v>70</v>
      </c>
      <c r="L293" t="s">
        <v>71</v>
      </c>
      <c r="M293" t="s">
        <v>72</v>
      </c>
      <c r="N293">
        <v>0.1</v>
      </c>
      <c r="O293">
        <v>0.10000000000000009</v>
      </c>
      <c r="P293">
        <v>48</v>
      </c>
      <c r="Q293">
        <v>0</v>
      </c>
    </row>
    <row r="294" spans="1:17" x14ac:dyDescent="0.2">
      <c r="A294" t="s">
        <v>383</v>
      </c>
      <c r="B294" t="s">
        <v>384</v>
      </c>
      <c r="C294" t="s">
        <v>385</v>
      </c>
      <c r="D294" s="8">
        <v>43564</v>
      </c>
      <c r="E294" t="s">
        <v>97</v>
      </c>
      <c r="F294" t="s">
        <v>67</v>
      </c>
      <c r="G294" t="s">
        <v>68</v>
      </c>
      <c r="H294">
        <v>2</v>
      </c>
      <c r="I294">
        <v>134.53</v>
      </c>
      <c r="J294" t="s">
        <v>78</v>
      </c>
      <c r="K294" t="s">
        <v>70</v>
      </c>
      <c r="L294" t="s">
        <v>239</v>
      </c>
      <c r="M294" t="s">
        <v>72</v>
      </c>
      <c r="N294">
        <v>2</v>
      </c>
      <c r="O294">
        <v>0</v>
      </c>
      <c r="P294">
        <v>0</v>
      </c>
      <c r="Q294">
        <v>2</v>
      </c>
    </row>
    <row r="295" spans="1:17" x14ac:dyDescent="0.2">
      <c r="A295" t="s">
        <v>383</v>
      </c>
      <c r="B295" t="s">
        <v>384</v>
      </c>
      <c r="C295" t="s">
        <v>385</v>
      </c>
      <c r="D295" s="8">
        <v>12613402</v>
      </c>
      <c r="E295" t="s">
        <v>73</v>
      </c>
      <c r="F295" t="s">
        <v>67</v>
      </c>
      <c r="G295" t="s">
        <v>68</v>
      </c>
      <c r="H295">
        <v>6</v>
      </c>
      <c r="I295">
        <v>18.32</v>
      </c>
      <c r="J295" t="s">
        <v>78</v>
      </c>
      <c r="K295" t="s">
        <v>70</v>
      </c>
      <c r="L295" t="s">
        <v>239</v>
      </c>
      <c r="M295" t="s">
        <v>72</v>
      </c>
      <c r="N295">
        <v>0.01</v>
      </c>
      <c r="O295">
        <v>1.0000000000000009E-2</v>
      </c>
      <c r="P295">
        <v>6</v>
      </c>
      <c r="Q295">
        <v>0</v>
      </c>
    </row>
    <row r="296" spans="1:17" x14ac:dyDescent="0.2">
      <c r="A296" t="s">
        <v>383</v>
      </c>
      <c r="B296" t="s">
        <v>384</v>
      </c>
      <c r="C296" t="s">
        <v>385</v>
      </c>
      <c r="D296" s="8">
        <v>12605969</v>
      </c>
      <c r="E296" t="s">
        <v>66</v>
      </c>
      <c r="F296" t="s">
        <v>67</v>
      </c>
      <c r="G296" t="s">
        <v>68</v>
      </c>
      <c r="H296">
        <v>2</v>
      </c>
      <c r="I296">
        <v>37.5</v>
      </c>
      <c r="J296" t="s">
        <v>78</v>
      </c>
      <c r="K296" t="s">
        <v>70</v>
      </c>
      <c r="L296" t="s">
        <v>239</v>
      </c>
      <c r="M296" t="s">
        <v>72</v>
      </c>
      <c r="N296">
        <v>0.01</v>
      </c>
      <c r="O296">
        <v>1.0000000000000009E-2</v>
      </c>
      <c r="P296">
        <v>2</v>
      </c>
      <c r="Q296">
        <v>0</v>
      </c>
    </row>
    <row r="297" spans="1:17" x14ac:dyDescent="0.2">
      <c r="A297" t="s">
        <v>383</v>
      </c>
      <c r="B297" t="s">
        <v>384</v>
      </c>
      <c r="C297" t="s">
        <v>385</v>
      </c>
      <c r="D297" s="8">
        <v>12436421</v>
      </c>
      <c r="E297" t="s">
        <v>6</v>
      </c>
      <c r="F297" t="s">
        <v>67</v>
      </c>
      <c r="G297" t="s">
        <v>68</v>
      </c>
      <c r="H297">
        <v>8</v>
      </c>
      <c r="I297">
        <v>85.97</v>
      </c>
      <c r="J297" t="s">
        <v>78</v>
      </c>
      <c r="K297" t="s">
        <v>70</v>
      </c>
      <c r="L297" t="s">
        <v>239</v>
      </c>
      <c r="M297" t="s">
        <v>72</v>
      </c>
      <c r="N297">
        <v>0.04</v>
      </c>
      <c r="O297">
        <v>4.0000000000000036E-2</v>
      </c>
      <c r="P297">
        <v>8</v>
      </c>
      <c r="Q297">
        <v>0</v>
      </c>
    </row>
    <row r="298" spans="1:17" x14ac:dyDescent="0.2">
      <c r="A298" t="s">
        <v>383</v>
      </c>
      <c r="B298" t="s">
        <v>384</v>
      </c>
      <c r="C298" t="s">
        <v>385</v>
      </c>
      <c r="D298" s="8">
        <v>12575127</v>
      </c>
      <c r="E298" t="s">
        <v>13</v>
      </c>
      <c r="F298" t="s">
        <v>67</v>
      </c>
      <c r="G298" t="s">
        <v>68</v>
      </c>
      <c r="H298">
        <v>12</v>
      </c>
      <c r="I298">
        <v>103.97</v>
      </c>
      <c r="J298" t="s">
        <v>78</v>
      </c>
      <c r="K298" t="s">
        <v>70</v>
      </c>
      <c r="L298" t="s">
        <v>239</v>
      </c>
      <c r="M298" t="s">
        <v>72</v>
      </c>
      <c r="N298">
        <v>0.02</v>
      </c>
      <c r="O298">
        <v>2.0000000000000018E-2</v>
      </c>
      <c r="P298">
        <v>12</v>
      </c>
      <c r="Q298">
        <v>0</v>
      </c>
    </row>
    <row r="299" spans="1:17" x14ac:dyDescent="0.2">
      <c r="A299" t="s">
        <v>383</v>
      </c>
      <c r="B299" t="s">
        <v>384</v>
      </c>
      <c r="C299" t="s">
        <v>385</v>
      </c>
      <c r="D299" s="8">
        <v>12560070</v>
      </c>
      <c r="E299" t="s">
        <v>15</v>
      </c>
      <c r="F299" t="s">
        <v>67</v>
      </c>
      <c r="G299" t="s">
        <v>68</v>
      </c>
      <c r="H299">
        <v>8</v>
      </c>
      <c r="I299">
        <v>38.28</v>
      </c>
      <c r="J299" t="s">
        <v>78</v>
      </c>
      <c r="K299" t="s">
        <v>70</v>
      </c>
      <c r="L299" t="s">
        <v>239</v>
      </c>
      <c r="M299" t="s">
        <v>72</v>
      </c>
      <c r="N299">
        <v>0.01</v>
      </c>
      <c r="O299">
        <v>1.0000000000000009E-2</v>
      </c>
      <c r="P299">
        <v>8</v>
      </c>
      <c r="Q299">
        <v>0</v>
      </c>
    </row>
    <row r="300" spans="1:17" x14ac:dyDescent="0.2">
      <c r="A300" t="s">
        <v>386</v>
      </c>
      <c r="B300" t="s">
        <v>387</v>
      </c>
      <c r="C300" t="s">
        <v>242</v>
      </c>
      <c r="D300" s="8">
        <v>43564</v>
      </c>
      <c r="E300" t="s">
        <v>97</v>
      </c>
      <c r="F300" t="s">
        <v>67</v>
      </c>
      <c r="G300" t="s">
        <v>68</v>
      </c>
      <c r="H300">
        <v>2</v>
      </c>
      <c r="I300">
        <v>134.53</v>
      </c>
      <c r="J300" t="s">
        <v>78</v>
      </c>
      <c r="K300" t="s">
        <v>70</v>
      </c>
      <c r="L300" t="s">
        <v>239</v>
      </c>
      <c r="M300" t="s">
        <v>72</v>
      </c>
      <c r="N300">
        <v>2</v>
      </c>
      <c r="O300">
        <v>0</v>
      </c>
      <c r="P300">
        <v>0</v>
      </c>
      <c r="Q300">
        <v>2</v>
      </c>
    </row>
    <row r="301" spans="1:17" x14ac:dyDescent="0.2">
      <c r="A301" t="s">
        <v>386</v>
      </c>
      <c r="B301" t="s">
        <v>387</v>
      </c>
      <c r="C301" t="s">
        <v>242</v>
      </c>
      <c r="D301" s="8">
        <v>12613402</v>
      </c>
      <c r="E301" t="s">
        <v>73</v>
      </c>
      <c r="F301" t="s">
        <v>67</v>
      </c>
      <c r="G301" t="s">
        <v>68</v>
      </c>
      <c r="H301">
        <v>6</v>
      </c>
      <c r="I301">
        <v>18.32</v>
      </c>
      <c r="J301" t="s">
        <v>78</v>
      </c>
      <c r="K301" t="s">
        <v>70</v>
      </c>
      <c r="L301" t="s">
        <v>239</v>
      </c>
      <c r="M301" t="s">
        <v>72</v>
      </c>
      <c r="N301">
        <v>0.01</v>
      </c>
      <c r="O301">
        <v>1.0000000000000009E-2</v>
      </c>
      <c r="P301">
        <v>6</v>
      </c>
      <c r="Q301">
        <v>0</v>
      </c>
    </row>
    <row r="302" spans="1:17" x14ac:dyDescent="0.2">
      <c r="A302" t="s">
        <v>386</v>
      </c>
      <c r="B302" t="s">
        <v>387</v>
      </c>
      <c r="C302" t="s">
        <v>242</v>
      </c>
      <c r="D302" s="8">
        <v>12436421</v>
      </c>
      <c r="E302" t="s">
        <v>6</v>
      </c>
      <c r="F302" t="s">
        <v>67</v>
      </c>
      <c r="G302" t="s">
        <v>68</v>
      </c>
      <c r="H302">
        <v>4</v>
      </c>
      <c r="I302">
        <v>42.99</v>
      </c>
      <c r="J302" t="s">
        <v>78</v>
      </c>
      <c r="K302" t="s">
        <v>70</v>
      </c>
      <c r="L302" t="s">
        <v>239</v>
      </c>
      <c r="M302" t="s">
        <v>72</v>
      </c>
      <c r="N302">
        <v>0.02</v>
      </c>
      <c r="O302">
        <v>2.0000000000000018E-2</v>
      </c>
      <c r="P302">
        <v>4</v>
      </c>
      <c r="Q302">
        <v>0</v>
      </c>
    </row>
    <row r="303" spans="1:17" x14ac:dyDescent="0.2">
      <c r="A303" t="s">
        <v>388</v>
      </c>
      <c r="B303" t="s">
        <v>389</v>
      </c>
      <c r="C303" t="s">
        <v>390</v>
      </c>
      <c r="D303" s="8">
        <v>43564</v>
      </c>
      <c r="E303" t="s">
        <v>97</v>
      </c>
      <c r="F303" t="s">
        <v>67</v>
      </c>
      <c r="G303" t="s">
        <v>68</v>
      </c>
      <c r="H303">
        <v>2</v>
      </c>
      <c r="I303">
        <v>134.53</v>
      </c>
      <c r="J303" t="s">
        <v>78</v>
      </c>
      <c r="K303" t="s">
        <v>70</v>
      </c>
      <c r="L303" t="s">
        <v>239</v>
      </c>
      <c r="M303" t="s">
        <v>72</v>
      </c>
      <c r="N303">
        <v>2</v>
      </c>
      <c r="O303">
        <v>0</v>
      </c>
      <c r="P303">
        <v>0</v>
      </c>
      <c r="Q303">
        <v>2</v>
      </c>
    </row>
    <row r="304" spans="1:17" x14ac:dyDescent="0.2">
      <c r="A304" t="s">
        <v>388</v>
      </c>
      <c r="B304" t="s">
        <v>389</v>
      </c>
      <c r="C304" t="s">
        <v>390</v>
      </c>
      <c r="D304" s="8">
        <v>12613402</v>
      </c>
      <c r="E304" t="s">
        <v>73</v>
      </c>
      <c r="F304" t="s">
        <v>67</v>
      </c>
      <c r="G304" t="s">
        <v>68</v>
      </c>
      <c r="H304">
        <v>6</v>
      </c>
      <c r="I304">
        <v>18.32</v>
      </c>
      <c r="J304" t="s">
        <v>78</v>
      </c>
      <c r="K304" t="s">
        <v>70</v>
      </c>
      <c r="L304" t="s">
        <v>239</v>
      </c>
      <c r="M304" t="s">
        <v>72</v>
      </c>
      <c r="N304">
        <v>0.01</v>
      </c>
      <c r="O304">
        <v>1.0000000000000009E-2</v>
      </c>
      <c r="P304">
        <v>6</v>
      </c>
      <c r="Q304">
        <v>0</v>
      </c>
    </row>
    <row r="305" spans="1:17" x14ac:dyDescent="0.2">
      <c r="A305" t="s">
        <v>388</v>
      </c>
      <c r="B305" t="s">
        <v>389</v>
      </c>
      <c r="C305" t="s">
        <v>390</v>
      </c>
      <c r="D305" s="8">
        <v>12605969</v>
      </c>
      <c r="E305" t="s">
        <v>66</v>
      </c>
      <c r="F305" t="s">
        <v>67</v>
      </c>
      <c r="G305" t="s">
        <v>68</v>
      </c>
      <c r="H305">
        <v>2</v>
      </c>
      <c r="I305">
        <v>37.5</v>
      </c>
      <c r="J305" t="s">
        <v>78</v>
      </c>
      <c r="K305" t="s">
        <v>70</v>
      </c>
      <c r="L305" t="s">
        <v>239</v>
      </c>
      <c r="M305" t="s">
        <v>72</v>
      </c>
      <c r="N305">
        <v>0.01</v>
      </c>
      <c r="O305">
        <v>1.0000000000000009E-2</v>
      </c>
      <c r="P305">
        <v>2</v>
      </c>
      <c r="Q305">
        <v>0</v>
      </c>
    </row>
    <row r="306" spans="1:17" x14ac:dyDescent="0.2">
      <c r="A306" t="s">
        <v>388</v>
      </c>
      <c r="B306" t="s">
        <v>389</v>
      </c>
      <c r="C306" t="s">
        <v>390</v>
      </c>
      <c r="D306" s="8">
        <v>12436421</v>
      </c>
      <c r="E306" t="s">
        <v>6</v>
      </c>
      <c r="F306" t="s">
        <v>67</v>
      </c>
      <c r="G306" t="s">
        <v>68</v>
      </c>
      <c r="H306">
        <v>12</v>
      </c>
      <c r="I306">
        <v>128.96</v>
      </c>
      <c r="J306" t="s">
        <v>78</v>
      </c>
      <c r="K306" t="s">
        <v>70</v>
      </c>
      <c r="L306" t="s">
        <v>239</v>
      </c>
      <c r="M306" t="s">
        <v>72</v>
      </c>
      <c r="N306">
        <v>0.06</v>
      </c>
      <c r="O306">
        <v>6.0000000000000053E-2</v>
      </c>
      <c r="P306">
        <v>12</v>
      </c>
      <c r="Q306">
        <v>0</v>
      </c>
    </row>
    <row r="307" spans="1:17" x14ac:dyDescent="0.2">
      <c r="A307" t="s">
        <v>388</v>
      </c>
      <c r="B307" t="s">
        <v>389</v>
      </c>
      <c r="C307" t="s">
        <v>390</v>
      </c>
      <c r="D307" s="8">
        <v>12604377</v>
      </c>
      <c r="E307" t="s">
        <v>93</v>
      </c>
      <c r="F307" t="s">
        <v>67</v>
      </c>
      <c r="G307" t="s">
        <v>68</v>
      </c>
      <c r="H307">
        <v>5</v>
      </c>
      <c r="I307">
        <v>67.27</v>
      </c>
      <c r="J307" t="s">
        <v>78</v>
      </c>
      <c r="K307" t="s">
        <v>70</v>
      </c>
      <c r="L307" t="s">
        <v>239</v>
      </c>
      <c r="M307" t="s">
        <v>72</v>
      </c>
      <c r="N307">
        <v>0.03</v>
      </c>
      <c r="O307">
        <v>3.0000000000000027E-2</v>
      </c>
      <c r="P307">
        <v>5</v>
      </c>
      <c r="Q307">
        <v>0</v>
      </c>
    </row>
    <row r="308" spans="1:17" x14ac:dyDescent="0.2">
      <c r="A308" t="s">
        <v>388</v>
      </c>
      <c r="B308" t="s">
        <v>389</v>
      </c>
      <c r="C308" t="s">
        <v>390</v>
      </c>
      <c r="D308" s="8">
        <v>12575127</v>
      </c>
      <c r="E308" t="s">
        <v>13</v>
      </c>
      <c r="F308" t="s">
        <v>67</v>
      </c>
      <c r="G308" t="s">
        <v>68</v>
      </c>
      <c r="H308">
        <v>12</v>
      </c>
      <c r="I308">
        <v>103.97</v>
      </c>
      <c r="J308" t="s">
        <v>78</v>
      </c>
      <c r="K308" t="s">
        <v>70</v>
      </c>
      <c r="L308" t="s">
        <v>239</v>
      </c>
      <c r="M308" t="s">
        <v>72</v>
      </c>
      <c r="N308">
        <v>0.02</v>
      </c>
      <c r="O308">
        <v>2.0000000000000018E-2</v>
      </c>
      <c r="P308">
        <v>12</v>
      </c>
      <c r="Q308">
        <v>0</v>
      </c>
    </row>
    <row r="309" spans="1:17" x14ac:dyDescent="0.2">
      <c r="A309" t="s">
        <v>388</v>
      </c>
      <c r="B309" t="s">
        <v>389</v>
      </c>
      <c r="C309" t="s">
        <v>390</v>
      </c>
      <c r="D309" s="8">
        <v>12560070</v>
      </c>
      <c r="E309" t="s">
        <v>15</v>
      </c>
      <c r="F309" t="s">
        <v>67</v>
      </c>
      <c r="G309" t="s">
        <v>68</v>
      </c>
      <c r="H309">
        <v>8</v>
      </c>
      <c r="I309">
        <v>38.28</v>
      </c>
      <c r="J309" t="s">
        <v>78</v>
      </c>
      <c r="K309" t="s">
        <v>70</v>
      </c>
      <c r="L309" t="s">
        <v>239</v>
      </c>
      <c r="M309" t="s">
        <v>72</v>
      </c>
      <c r="N309">
        <v>0.01</v>
      </c>
      <c r="O309">
        <v>1.0000000000000009E-2</v>
      </c>
      <c r="P309">
        <v>8</v>
      </c>
      <c r="Q309">
        <v>0</v>
      </c>
    </row>
    <row r="310" spans="1:17" x14ac:dyDescent="0.2">
      <c r="A310" t="s">
        <v>391</v>
      </c>
      <c r="B310" t="s">
        <v>392</v>
      </c>
      <c r="C310" t="s">
        <v>393</v>
      </c>
      <c r="D310" s="8">
        <v>12613402</v>
      </c>
      <c r="E310" t="s">
        <v>73</v>
      </c>
      <c r="F310" t="s">
        <v>67</v>
      </c>
      <c r="G310" t="s">
        <v>68</v>
      </c>
      <c r="H310">
        <v>12</v>
      </c>
      <c r="I310">
        <v>36.659999999999997</v>
      </c>
      <c r="J310" t="s">
        <v>69</v>
      </c>
      <c r="K310" t="s">
        <v>70</v>
      </c>
      <c r="L310" t="s">
        <v>71</v>
      </c>
      <c r="M310" t="s">
        <v>72</v>
      </c>
      <c r="N310">
        <v>0.01</v>
      </c>
      <c r="O310">
        <v>1.0000000000000009E-2</v>
      </c>
      <c r="P310">
        <v>12</v>
      </c>
      <c r="Q310">
        <v>0</v>
      </c>
    </row>
    <row r="311" spans="1:17" x14ac:dyDescent="0.2">
      <c r="A311" t="s">
        <v>391</v>
      </c>
      <c r="B311" t="s">
        <v>392</v>
      </c>
      <c r="C311" t="s">
        <v>393</v>
      </c>
      <c r="D311" s="8">
        <v>12605994</v>
      </c>
      <c r="E311" t="s">
        <v>85</v>
      </c>
      <c r="F311" t="s">
        <v>67</v>
      </c>
      <c r="G311" t="s">
        <v>68</v>
      </c>
      <c r="H311">
        <v>2</v>
      </c>
      <c r="I311">
        <v>37.5</v>
      </c>
      <c r="J311" t="s">
        <v>69</v>
      </c>
      <c r="K311" t="s">
        <v>70</v>
      </c>
      <c r="L311" t="s">
        <v>71</v>
      </c>
      <c r="M311" t="s">
        <v>72</v>
      </c>
      <c r="N311">
        <v>0.01</v>
      </c>
      <c r="O311">
        <v>1.0000000000000009E-2</v>
      </c>
      <c r="P311">
        <v>2</v>
      </c>
      <c r="Q311">
        <v>0</v>
      </c>
    </row>
    <row r="312" spans="1:17" x14ac:dyDescent="0.2">
      <c r="A312" t="s">
        <v>391</v>
      </c>
      <c r="B312" t="s">
        <v>392</v>
      </c>
      <c r="C312" t="s">
        <v>393</v>
      </c>
      <c r="D312" s="8">
        <v>12436421</v>
      </c>
      <c r="E312" t="s">
        <v>6</v>
      </c>
      <c r="F312" t="s">
        <v>67</v>
      </c>
      <c r="G312" t="s">
        <v>68</v>
      </c>
      <c r="H312">
        <v>4</v>
      </c>
      <c r="I312">
        <v>42.99</v>
      </c>
      <c r="J312" t="s">
        <v>69</v>
      </c>
      <c r="K312" t="s">
        <v>70</v>
      </c>
      <c r="L312" t="s">
        <v>71</v>
      </c>
      <c r="M312" t="s">
        <v>72</v>
      </c>
      <c r="N312">
        <v>0.02</v>
      </c>
      <c r="O312">
        <v>2.0000000000000018E-2</v>
      </c>
      <c r="P312">
        <v>4</v>
      </c>
      <c r="Q312">
        <v>0</v>
      </c>
    </row>
    <row r="313" spans="1:17" x14ac:dyDescent="0.2">
      <c r="A313" t="s">
        <v>391</v>
      </c>
      <c r="B313" t="s">
        <v>392</v>
      </c>
      <c r="C313" t="s">
        <v>393</v>
      </c>
      <c r="D313" s="8">
        <v>12575127</v>
      </c>
      <c r="E313" t="s">
        <v>13</v>
      </c>
      <c r="F313" t="s">
        <v>67</v>
      </c>
      <c r="G313" t="s">
        <v>68</v>
      </c>
      <c r="H313">
        <v>24</v>
      </c>
      <c r="I313">
        <v>207.94</v>
      </c>
      <c r="J313" t="s">
        <v>69</v>
      </c>
      <c r="K313" t="s">
        <v>70</v>
      </c>
      <c r="L313" t="s">
        <v>71</v>
      </c>
      <c r="M313" t="s">
        <v>72</v>
      </c>
      <c r="N313">
        <v>0.05</v>
      </c>
      <c r="O313">
        <v>5.0000000000000044E-2</v>
      </c>
      <c r="P313">
        <v>24</v>
      </c>
      <c r="Q313">
        <v>0</v>
      </c>
    </row>
    <row r="314" spans="1:17" x14ac:dyDescent="0.2">
      <c r="A314" t="s">
        <v>391</v>
      </c>
      <c r="B314" t="s">
        <v>392</v>
      </c>
      <c r="C314" t="s">
        <v>393</v>
      </c>
      <c r="D314" s="8">
        <v>12560070</v>
      </c>
      <c r="E314" t="s">
        <v>15</v>
      </c>
      <c r="F314" t="s">
        <v>67</v>
      </c>
      <c r="G314" t="s">
        <v>68</v>
      </c>
      <c r="H314">
        <v>8</v>
      </c>
      <c r="I314">
        <v>38.28</v>
      </c>
      <c r="J314" t="s">
        <v>69</v>
      </c>
      <c r="K314" t="s">
        <v>70</v>
      </c>
      <c r="L314" t="s">
        <v>71</v>
      </c>
      <c r="M314" t="s">
        <v>72</v>
      </c>
      <c r="N314">
        <v>0.01</v>
      </c>
      <c r="O314">
        <v>1.0000000000000009E-2</v>
      </c>
      <c r="P314">
        <v>8</v>
      </c>
      <c r="Q314">
        <v>0</v>
      </c>
    </row>
    <row r="315" spans="1:17" x14ac:dyDescent="0.2">
      <c r="A315" t="s">
        <v>394</v>
      </c>
      <c r="B315" t="s">
        <v>395</v>
      </c>
      <c r="C315" t="s">
        <v>396</v>
      </c>
      <c r="D315" s="8">
        <v>12575127</v>
      </c>
      <c r="E315" t="s">
        <v>13</v>
      </c>
      <c r="F315" t="s">
        <v>67</v>
      </c>
      <c r="G315" t="s">
        <v>68</v>
      </c>
      <c r="H315">
        <v>24</v>
      </c>
      <c r="I315">
        <v>207.94</v>
      </c>
      <c r="J315" t="s">
        <v>69</v>
      </c>
      <c r="K315" t="s">
        <v>70</v>
      </c>
      <c r="L315" t="s">
        <v>71</v>
      </c>
      <c r="M315" t="s">
        <v>72</v>
      </c>
      <c r="N315">
        <v>0.05</v>
      </c>
      <c r="O315">
        <v>5.0000000000000044E-2</v>
      </c>
      <c r="P315">
        <v>24</v>
      </c>
      <c r="Q315">
        <v>0</v>
      </c>
    </row>
    <row r="316" spans="1:17" x14ac:dyDescent="0.2">
      <c r="A316" t="s">
        <v>397</v>
      </c>
      <c r="B316" t="s">
        <v>398</v>
      </c>
      <c r="C316" t="s">
        <v>399</v>
      </c>
      <c r="D316" s="8">
        <v>12613402</v>
      </c>
      <c r="E316" t="s">
        <v>73</v>
      </c>
      <c r="F316" t="s">
        <v>67</v>
      </c>
      <c r="G316" t="s">
        <v>68</v>
      </c>
      <c r="H316">
        <v>12</v>
      </c>
      <c r="I316">
        <v>36.659999999999997</v>
      </c>
      <c r="J316" t="s">
        <v>69</v>
      </c>
      <c r="K316" t="s">
        <v>70</v>
      </c>
      <c r="L316" t="s">
        <v>71</v>
      </c>
      <c r="M316" t="s">
        <v>72</v>
      </c>
      <c r="N316">
        <v>0.01</v>
      </c>
      <c r="O316">
        <v>1.0000000000000009E-2</v>
      </c>
      <c r="P316">
        <v>12</v>
      </c>
      <c r="Q316">
        <v>0</v>
      </c>
    </row>
    <row r="317" spans="1:17" x14ac:dyDescent="0.2">
      <c r="A317" t="s">
        <v>397</v>
      </c>
      <c r="B317" t="s">
        <v>398</v>
      </c>
      <c r="C317" t="s">
        <v>399</v>
      </c>
      <c r="D317" s="8">
        <v>12605994</v>
      </c>
      <c r="E317" t="s">
        <v>85</v>
      </c>
      <c r="F317" t="s">
        <v>67</v>
      </c>
      <c r="G317" t="s">
        <v>68</v>
      </c>
      <c r="H317">
        <v>2</v>
      </c>
      <c r="I317">
        <v>37.5</v>
      </c>
      <c r="J317" t="s">
        <v>69</v>
      </c>
      <c r="K317" t="s">
        <v>70</v>
      </c>
      <c r="L317" t="s">
        <v>71</v>
      </c>
      <c r="M317" t="s">
        <v>72</v>
      </c>
      <c r="N317">
        <v>0.01</v>
      </c>
      <c r="O317">
        <v>1.0000000000000009E-2</v>
      </c>
      <c r="P317">
        <v>2</v>
      </c>
      <c r="Q317">
        <v>0</v>
      </c>
    </row>
    <row r="318" spans="1:17" x14ac:dyDescent="0.2">
      <c r="A318" t="s">
        <v>397</v>
      </c>
      <c r="B318" t="s">
        <v>398</v>
      </c>
      <c r="C318" t="s">
        <v>399</v>
      </c>
      <c r="D318" s="8">
        <v>12436421</v>
      </c>
      <c r="E318" t="s">
        <v>6</v>
      </c>
      <c r="F318" t="s">
        <v>67</v>
      </c>
      <c r="G318" t="s">
        <v>68</v>
      </c>
      <c r="H318">
        <v>4</v>
      </c>
      <c r="I318">
        <v>42.99</v>
      </c>
      <c r="J318" t="s">
        <v>69</v>
      </c>
      <c r="K318" t="s">
        <v>70</v>
      </c>
      <c r="L318" t="s">
        <v>71</v>
      </c>
      <c r="M318" t="s">
        <v>72</v>
      </c>
      <c r="N318">
        <v>0.02</v>
      </c>
      <c r="O318">
        <v>2.0000000000000018E-2</v>
      </c>
      <c r="P318">
        <v>4</v>
      </c>
      <c r="Q318">
        <v>0</v>
      </c>
    </row>
    <row r="319" spans="1:17" x14ac:dyDescent="0.2">
      <c r="A319" t="s">
        <v>397</v>
      </c>
      <c r="B319" t="s">
        <v>398</v>
      </c>
      <c r="C319" t="s">
        <v>399</v>
      </c>
      <c r="D319" s="8">
        <v>12575127</v>
      </c>
      <c r="E319" t="s">
        <v>13</v>
      </c>
      <c r="F319" t="s">
        <v>67</v>
      </c>
      <c r="G319" t="s">
        <v>68</v>
      </c>
      <c r="H319">
        <v>24</v>
      </c>
      <c r="I319">
        <v>207.94</v>
      </c>
      <c r="J319" t="s">
        <v>69</v>
      </c>
      <c r="K319" t="s">
        <v>70</v>
      </c>
      <c r="L319" t="s">
        <v>71</v>
      </c>
      <c r="M319" t="s">
        <v>72</v>
      </c>
      <c r="N319">
        <v>0.05</v>
      </c>
      <c r="O319">
        <v>5.0000000000000044E-2</v>
      </c>
      <c r="P319">
        <v>24</v>
      </c>
      <c r="Q319">
        <v>0</v>
      </c>
    </row>
    <row r="320" spans="1:17" x14ac:dyDescent="0.2">
      <c r="A320" t="s">
        <v>397</v>
      </c>
      <c r="B320" t="s">
        <v>398</v>
      </c>
      <c r="C320" t="s">
        <v>399</v>
      </c>
      <c r="D320" s="8">
        <v>12560070</v>
      </c>
      <c r="E320" t="s">
        <v>15</v>
      </c>
      <c r="F320" t="s">
        <v>67</v>
      </c>
      <c r="G320" t="s">
        <v>68</v>
      </c>
      <c r="H320">
        <v>8</v>
      </c>
      <c r="I320">
        <v>38.28</v>
      </c>
      <c r="J320" t="s">
        <v>69</v>
      </c>
      <c r="K320" t="s">
        <v>70</v>
      </c>
      <c r="L320" t="s">
        <v>71</v>
      </c>
      <c r="M320" t="s">
        <v>72</v>
      </c>
      <c r="N320">
        <v>0.01</v>
      </c>
      <c r="O320">
        <v>1.0000000000000009E-2</v>
      </c>
      <c r="P320">
        <v>8</v>
      </c>
      <c r="Q320">
        <v>0</v>
      </c>
    </row>
    <row r="321" spans="1:17" x14ac:dyDescent="0.2">
      <c r="A321" t="s">
        <v>400</v>
      </c>
      <c r="B321" t="s">
        <v>401</v>
      </c>
      <c r="C321" t="s">
        <v>402</v>
      </c>
      <c r="D321" s="8">
        <v>12613402</v>
      </c>
      <c r="E321" t="s">
        <v>73</v>
      </c>
      <c r="F321" t="s">
        <v>67</v>
      </c>
      <c r="G321" t="s">
        <v>68</v>
      </c>
      <c r="H321">
        <v>6</v>
      </c>
      <c r="I321">
        <v>18.32</v>
      </c>
      <c r="J321" t="s">
        <v>69</v>
      </c>
      <c r="K321" t="s">
        <v>70</v>
      </c>
      <c r="L321" t="s">
        <v>71</v>
      </c>
      <c r="M321" t="s">
        <v>72</v>
      </c>
      <c r="N321">
        <v>0.01</v>
      </c>
      <c r="O321">
        <v>1.0000000000000009E-2</v>
      </c>
      <c r="P321">
        <v>6</v>
      </c>
      <c r="Q321">
        <v>0</v>
      </c>
    </row>
    <row r="322" spans="1:17" x14ac:dyDescent="0.2">
      <c r="A322" t="s">
        <v>400</v>
      </c>
      <c r="B322" t="s">
        <v>401</v>
      </c>
      <c r="C322" t="s">
        <v>402</v>
      </c>
      <c r="D322" s="8">
        <v>12605994</v>
      </c>
      <c r="E322" t="s">
        <v>85</v>
      </c>
      <c r="F322" t="s">
        <v>67</v>
      </c>
      <c r="G322" t="s">
        <v>68</v>
      </c>
      <c r="H322">
        <v>2</v>
      </c>
      <c r="I322">
        <v>37.5</v>
      </c>
      <c r="J322" t="s">
        <v>69</v>
      </c>
      <c r="K322" t="s">
        <v>70</v>
      </c>
      <c r="L322" t="s">
        <v>71</v>
      </c>
      <c r="M322" t="s">
        <v>72</v>
      </c>
      <c r="N322">
        <v>0.01</v>
      </c>
      <c r="O322">
        <v>1.0000000000000009E-2</v>
      </c>
      <c r="P322">
        <v>2</v>
      </c>
      <c r="Q322">
        <v>0</v>
      </c>
    </row>
    <row r="323" spans="1:17" x14ac:dyDescent="0.2">
      <c r="A323" t="s">
        <v>400</v>
      </c>
      <c r="B323" t="s">
        <v>401</v>
      </c>
      <c r="C323" t="s">
        <v>402</v>
      </c>
      <c r="D323" s="8">
        <v>12436421</v>
      </c>
      <c r="E323" t="s">
        <v>6</v>
      </c>
      <c r="F323" t="s">
        <v>67</v>
      </c>
      <c r="G323" t="s">
        <v>68</v>
      </c>
      <c r="H323">
        <v>4</v>
      </c>
      <c r="I323">
        <v>42.99</v>
      </c>
      <c r="J323" t="s">
        <v>69</v>
      </c>
      <c r="K323" t="s">
        <v>70</v>
      </c>
      <c r="L323" t="s">
        <v>71</v>
      </c>
      <c r="M323" t="s">
        <v>72</v>
      </c>
      <c r="N323">
        <v>0.02</v>
      </c>
      <c r="O323">
        <v>2.0000000000000018E-2</v>
      </c>
      <c r="P323">
        <v>4</v>
      </c>
      <c r="Q323">
        <v>0</v>
      </c>
    </row>
    <row r="324" spans="1:17" x14ac:dyDescent="0.2">
      <c r="A324" t="s">
        <v>400</v>
      </c>
      <c r="B324" t="s">
        <v>401</v>
      </c>
      <c r="C324" t="s">
        <v>402</v>
      </c>
      <c r="D324" s="8">
        <v>12575127</v>
      </c>
      <c r="E324" t="s">
        <v>13</v>
      </c>
      <c r="F324" t="s">
        <v>67</v>
      </c>
      <c r="G324" t="s">
        <v>68</v>
      </c>
      <c r="H324">
        <v>24</v>
      </c>
      <c r="I324">
        <v>207.94</v>
      </c>
      <c r="J324" t="s">
        <v>69</v>
      </c>
      <c r="K324" t="s">
        <v>70</v>
      </c>
      <c r="L324" t="s">
        <v>71</v>
      </c>
      <c r="M324" t="s">
        <v>72</v>
      </c>
      <c r="N324">
        <v>0.05</v>
      </c>
      <c r="O324">
        <v>5.0000000000000044E-2</v>
      </c>
      <c r="P324">
        <v>24</v>
      </c>
      <c r="Q324">
        <v>0</v>
      </c>
    </row>
    <row r="325" spans="1:17" x14ac:dyDescent="0.2">
      <c r="A325" t="s">
        <v>400</v>
      </c>
      <c r="B325" t="s">
        <v>401</v>
      </c>
      <c r="C325" t="s">
        <v>402</v>
      </c>
      <c r="D325" s="8">
        <v>12560070</v>
      </c>
      <c r="E325" t="s">
        <v>15</v>
      </c>
      <c r="F325" t="s">
        <v>67</v>
      </c>
      <c r="G325" t="s">
        <v>68</v>
      </c>
      <c r="H325">
        <v>8</v>
      </c>
      <c r="I325">
        <v>38.28</v>
      </c>
      <c r="J325" t="s">
        <v>69</v>
      </c>
      <c r="K325" t="s">
        <v>70</v>
      </c>
      <c r="L325" t="s">
        <v>71</v>
      </c>
      <c r="M325" t="s">
        <v>72</v>
      </c>
      <c r="N325">
        <v>0.01</v>
      </c>
      <c r="O325">
        <v>1.0000000000000009E-2</v>
      </c>
      <c r="P325">
        <v>8</v>
      </c>
      <c r="Q325">
        <v>0</v>
      </c>
    </row>
    <row r="326" spans="1:17" x14ac:dyDescent="0.2">
      <c r="A326" t="s">
        <v>403</v>
      </c>
      <c r="B326" t="s">
        <v>404</v>
      </c>
      <c r="C326" t="s">
        <v>405</v>
      </c>
      <c r="D326" s="8">
        <v>12613402</v>
      </c>
      <c r="E326" t="s">
        <v>73</v>
      </c>
      <c r="F326" t="s">
        <v>67</v>
      </c>
      <c r="G326" t="s">
        <v>68</v>
      </c>
      <c r="H326">
        <v>6</v>
      </c>
      <c r="I326">
        <v>18.32</v>
      </c>
      <c r="J326" t="s">
        <v>69</v>
      </c>
      <c r="K326" t="s">
        <v>70</v>
      </c>
      <c r="L326" t="s">
        <v>71</v>
      </c>
      <c r="M326" t="s">
        <v>72</v>
      </c>
      <c r="N326">
        <v>0.01</v>
      </c>
      <c r="O326">
        <v>1.0000000000000009E-2</v>
      </c>
      <c r="P326">
        <v>6</v>
      </c>
      <c r="Q326">
        <v>0</v>
      </c>
    </row>
    <row r="327" spans="1:17" x14ac:dyDescent="0.2">
      <c r="A327" t="s">
        <v>403</v>
      </c>
      <c r="B327" t="s">
        <v>404</v>
      </c>
      <c r="C327" t="s">
        <v>405</v>
      </c>
      <c r="D327" s="8">
        <v>12605994</v>
      </c>
      <c r="E327" t="s">
        <v>85</v>
      </c>
      <c r="F327" t="s">
        <v>67</v>
      </c>
      <c r="G327" t="s">
        <v>68</v>
      </c>
      <c r="H327">
        <v>2</v>
      </c>
      <c r="I327">
        <v>37.5</v>
      </c>
      <c r="J327" t="s">
        <v>69</v>
      </c>
      <c r="K327" t="s">
        <v>70</v>
      </c>
      <c r="L327" t="s">
        <v>71</v>
      </c>
      <c r="M327" t="s">
        <v>72</v>
      </c>
      <c r="N327">
        <v>0.01</v>
      </c>
      <c r="O327">
        <v>1.0000000000000009E-2</v>
      </c>
      <c r="P327">
        <v>2</v>
      </c>
      <c r="Q327">
        <v>0</v>
      </c>
    </row>
    <row r="328" spans="1:17" x14ac:dyDescent="0.2">
      <c r="A328" t="s">
        <v>403</v>
      </c>
      <c r="B328" t="s">
        <v>404</v>
      </c>
      <c r="C328" t="s">
        <v>405</v>
      </c>
      <c r="D328" s="8">
        <v>12436421</v>
      </c>
      <c r="E328" t="s">
        <v>6</v>
      </c>
      <c r="F328" t="s">
        <v>67</v>
      </c>
      <c r="G328" t="s">
        <v>68</v>
      </c>
      <c r="H328">
        <v>4</v>
      </c>
      <c r="I328">
        <v>42.99</v>
      </c>
      <c r="J328" t="s">
        <v>69</v>
      </c>
      <c r="K328" t="s">
        <v>70</v>
      </c>
      <c r="L328" t="s">
        <v>71</v>
      </c>
      <c r="M328" t="s">
        <v>72</v>
      </c>
      <c r="N328">
        <v>0.02</v>
      </c>
      <c r="O328">
        <v>2.0000000000000018E-2</v>
      </c>
      <c r="P328">
        <v>4</v>
      </c>
      <c r="Q328">
        <v>0</v>
      </c>
    </row>
    <row r="329" spans="1:17" x14ac:dyDescent="0.2">
      <c r="A329" t="s">
        <v>403</v>
      </c>
      <c r="B329" t="s">
        <v>404</v>
      </c>
      <c r="C329" t="s">
        <v>405</v>
      </c>
      <c r="D329" s="8">
        <v>12575127</v>
      </c>
      <c r="E329" t="s">
        <v>13</v>
      </c>
      <c r="F329" t="s">
        <v>67</v>
      </c>
      <c r="G329" t="s">
        <v>68</v>
      </c>
      <c r="H329">
        <v>24</v>
      </c>
      <c r="I329">
        <v>207.94</v>
      </c>
      <c r="J329" t="s">
        <v>69</v>
      </c>
      <c r="K329" t="s">
        <v>70</v>
      </c>
      <c r="L329" t="s">
        <v>71</v>
      </c>
      <c r="M329" t="s">
        <v>72</v>
      </c>
      <c r="N329">
        <v>0.05</v>
      </c>
      <c r="O329">
        <v>5.0000000000000044E-2</v>
      </c>
      <c r="P329">
        <v>24</v>
      </c>
      <c r="Q329">
        <v>0</v>
      </c>
    </row>
    <row r="330" spans="1:17" x14ac:dyDescent="0.2">
      <c r="A330" t="s">
        <v>403</v>
      </c>
      <c r="B330" t="s">
        <v>404</v>
      </c>
      <c r="C330" t="s">
        <v>405</v>
      </c>
      <c r="D330" s="8">
        <v>12560070</v>
      </c>
      <c r="E330" t="s">
        <v>15</v>
      </c>
      <c r="F330" t="s">
        <v>67</v>
      </c>
      <c r="G330" t="s">
        <v>68</v>
      </c>
      <c r="H330">
        <v>8</v>
      </c>
      <c r="I330">
        <v>38.28</v>
      </c>
      <c r="J330" t="s">
        <v>69</v>
      </c>
      <c r="K330" t="s">
        <v>70</v>
      </c>
      <c r="L330" t="s">
        <v>71</v>
      </c>
      <c r="M330" t="s">
        <v>72</v>
      </c>
      <c r="N330">
        <v>0.01</v>
      </c>
      <c r="O330">
        <v>1.0000000000000009E-2</v>
      </c>
      <c r="P330">
        <v>8</v>
      </c>
      <c r="Q330">
        <v>0</v>
      </c>
    </row>
    <row r="331" spans="1:17" x14ac:dyDescent="0.2">
      <c r="A331" t="s">
        <v>406</v>
      </c>
      <c r="B331" t="s">
        <v>407</v>
      </c>
      <c r="C331" t="s">
        <v>408</v>
      </c>
      <c r="D331" s="8">
        <v>12613402</v>
      </c>
      <c r="E331" t="s">
        <v>73</v>
      </c>
      <c r="F331" t="s">
        <v>67</v>
      </c>
      <c r="G331" t="s">
        <v>68</v>
      </c>
      <c r="H331">
        <v>12</v>
      </c>
      <c r="I331">
        <v>36.659999999999997</v>
      </c>
      <c r="J331" t="s">
        <v>69</v>
      </c>
      <c r="K331" t="s">
        <v>70</v>
      </c>
      <c r="L331" t="s">
        <v>71</v>
      </c>
      <c r="M331" t="s">
        <v>72</v>
      </c>
      <c r="N331">
        <v>0.01</v>
      </c>
      <c r="O331">
        <v>1.0000000000000009E-2</v>
      </c>
      <c r="P331">
        <v>12</v>
      </c>
      <c r="Q331">
        <v>0</v>
      </c>
    </row>
    <row r="332" spans="1:17" x14ac:dyDescent="0.2">
      <c r="A332" t="s">
        <v>406</v>
      </c>
      <c r="B332" t="s">
        <v>407</v>
      </c>
      <c r="C332" t="s">
        <v>408</v>
      </c>
      <c r="D332" s="8">
        <v>12605994</v>
      </c>
      <c r="E332" t="s">
        <v>85</v>
      </c>
      <c r="F332" t="s">
        <v>67</v>
      </c>
      <c r="G332" t="s">
        <v>68</v>
      </c>
      <c r="H332">
        <v>2</v>
      </c>
      <c r="I332">
        <v>37.5</v>
      </c>
      <c r="J332" t="s">
        <v>69</v>
      </c>
      <c r="K332" t="s">
        <v>70</v>
      </c>
      <c r="L332" t="s">
        <v>71</v>
      </c>
      <c r="M332" t="s">
        <v>72</v>
      </c>
      <c r="N332">
        <v>0.01</v>
      </c>
      <c r="O332">
        <v>1.0000000000000009E-2</v>
      </c>
      <c r="P332">
        <v>2</v>
      </c>
      <c r="Q332">
        <v>0</v>
      </c>
    </row>
    <row r="333" spans="1:17" x14ac:dyDescent="0.2">
      <c r="A333" t="s">
        <v>406</v>
      </c>
      <c r="B333" t="s">
        <v>407</v>
      </c>
      <c r="C333" t="s">
        <v>408</v>
      </c>
      <c r="D333" s="8">
        <v>12436421</v>
      </c>
      <c r="E333" t="s">
        <v>6</v>
      </c>
      <c r="F333" t="s">
        <v>67</v>
      </c>
      <c r="G333" t="s">
        <v>68</v>
      </c>
      <c r="H333">
        <v>4</v>
      </c>
      <c r="I333">
        <v>42.99</v>
      </c>
      <c r="J333" t="s">
        <v>69</v>
      </c>
      <c r="K333" t="s">
        <v>70</v>
      </c>
      <c r="L333" t="s">
        <v>71</v>
      </c>
      <c r="M333" t="s">
        <v>72</v>
      </c>
      <c r="N333">
        <v>0.02</v>
      </c>
      <c r="O333">
        <v>2.0000000000000018E-2</v>
      </c>
      <c r="P333">
        <v>4</v>
      </c>
      <c r="Q333">
        <v>0</v>
      </c>
    </row>
    <row r="334" spans="1:17" x14ac:dyDescent="0.2">
      <c r="A334" t="s">
        <v>406</v>
      </c>
      <c r="B334" t="s">
        <v>407</v>
      </c>
      <c r="C334" t="s">
        <v>408</v>
      </c>
      <c r="D334" s="8">
        <v>12575127</v>
      </c>
      <c r="E334" t="s">
        <v>13</v>
      </c>
      <c r="F334" t="s">
        <v>67</v>
      </c>
      <c r="G334" t="s">
        <v>68</v>
      </c>
      <c r="H334">
        <v>24</v>
      </c>
      <c r="I334">
        <v>207.94</v>
      </c>
      <c r="J334" t="s">
        <v>69</v>
      </c>
      <c r="K334" t="s">
        <v>70</v>
      </c>
      <c r="L334" t="s">
        <v>71</v>
      </c>
      <c r="M334" t="s">
        <v>72</v>
      </c>
      <c r="N334">
        <v>0.05</v>
      </c>
      <c r="O334">
        <v>5.0000000000000044E-2</v>
      </c>
      <c r="P334">
        <v>24</v>
      </c>
      <c r="Q334">
        <v>0</v>
      </c>
    </row>
    <row r="335" spans="1:17" x14ac:dyDescent="0.2">
      <c r="A335" t="s">
        <v>406</v>
      </c>
      <c r="B335" t="s">
        <v>407</v>
      </c>
      <c r="C335" t="s">
        <v>408</v>
      </c>
      <c r="D335" s="8">
        <v>12560070</v>
      </c>
      <c r="E335" t="s">
        <v>15</v>
      </c>
      <c r="F335" t="s">
        <v>67</v>
      </c>
      <c r="G335" t="s">
        <v>68</v>
      </c>
      <c r="H335">
        <v>8</v>
      </c>
      <c r="I335">
        <v>38.28</v>
      </c>
      <c r="J335" t="s">
        <v>69</v>
      </c>
      <c r="K335" t="s">
        <v>70</v>
      </c>
      <c r="L335" t="s">
        <v>71</v>
      </c>
      <c r="M335" t="s">
        <v>72</v>
      </c>
      <c r="N335">
        <v>0.01</v>
      </c>
      <c r="O335">
        <v>1.0000000000000009E-2</v>
      </c>
      <c r="P335">
        <v>8</v>
      </c>
      <c r="Q335">
        <v>0</v>
      </c>
    </row>
    <row r="336" spans="1:17" x14ac:dyDescent="0.2">
      <c r="A336" t="s">
        <v>409</v>
      </c>
      <c r="B336" t="s">
        <v>410</v>
      </c>
      <c r="C336" t="s">
        <v>411</v>
      </c>
      <c r="D336" s="8">
        <v>12613402</v>
      </c>
      <c r="E336" t="s">
        <v>73</v>
      </c>
      <c r="F336" t="s">
        <v>67</v>
      </c>
      <c r="G336" t="s">
        <v>68</v>
      </c>
      <c r="H336">
        <v>12</v>
      </c>
      <c r="I336">
        <v>36.659999999999997</v>
      </c>
      <c r="J336" t="s">
        <v>69</v>
      </c>
      <c r="K336" t="s">
        <v>70</v>
      </c>
      <c r="L336" t="s">
        <v>71</v>
      </c>
      <c r="M336" t="s">
        <v>72</v>
      </c>
      <c r="N336">
        <v>0.01</v>
      </c>
      <c r="O336">
        <v>1.0000000000000009E-2</v>
      </c>
      <c r="P336">
        <v>12</v>
      </c>
      <c r="Q336">
        <v>0</v>
      </c>
    </row>
    <row r="337" spans="1:17" x14ac:dyDescent="0.2">
      <c r="A337" t="s">
        <v>409</v>
      </c>
      <c r="B337" t="s">
        <v>410</v>
      </c>
      <c r="C337" t="s">
        <v>411</v>
      </c>
      <c r="D337" s="8">
        <v>12605994</v>
      </c>
      <c r="E337" t="s">
        <v>85</v>
      </c>
      <c r="F337" t="s">
        <v>67</v>
      </c>
      <c r="G337" t="s">
        <v>68</v>
      </c>
      <c r="H337">
        <v>2</v>
      </c>
      <c r="I337">
        <v>37.5</v>
      </c>
      <c r="J337" t="s">
        <v>69</v>
      </c>
      <c r="K337" t="s">
        <v>70</v>
      </c>
      <c r="L337" t="s">
        <v>71</v>
      </c>
      <c r="M337" t="s">
        <v>72</v>
      </c>
      <c r="N337">
        <v>0.01</v>
      </c>
      <c r="O337">
        <v>1.0000000000000009E-2</v>
      </c>
      <c r="P337">
        <v>2</v>
      </c>
      <c r="Q337">
        <v>0</v>
      </c>
    </row>
    <row r="338" spans="1:17" x14ac:dyDescent="0.2">
      <c r="A338" t="s">
        <v>409</v>
      </c>
      <c r="B338" t="s">
        <v>410</v>
      </c>
      <c r="C338" t="s">
        <v>411</v>
      </c>
      <c r="D338" s="8">
        <v>12436421</v>
      </c>
      <c r="E338" t="s">
        <v>6</v>
      </c>
      <c r="F338" t="s">
        <v>67</v>
      </c>
      <c r="G338" t="s">
        <v>68</v>
      </c>
      <c r="H338">
        <v>4</v>
      </c>
      <c r="I338">
        <v>42.99</v>
      </c>
      <c r="J338" t="s">
        <v>69</v>
      </c>
      <c r="K338" t="s">
        <v>70</v>
      </c>
      <c r="L338" t="s">
        <v>71</v>
      </c>
      <c r="M338" t="s">
        <v>72</v>
      </c>
      <c r="N338">
        <v>0.02</v>
      </c>
      <c r="O338">
        <v>2.0000000000000018E-2</v>
      </c>
      <c r="P338">
        <v>4</v>
      </c>
      <c r="Q338">
        <v>0</v>
      </c>
    </row>
    <row r="339" spans="1:17" x14ac:dyDescent="0.2">
      <c r="A339" t="s">
        <v>409</v>
      </c>
      <c r="B339" t="s">
        <v>410</v>
      </c>
      <c r="C339" t="s">
        <v>411</v>
      </c>
      <c r="D339" s="8">
        <v>12575127</v>
      </c>
      <c r="E339" t="s">
        <v>13</v>
      </c>
      <c r="F339" t="s">
        <v>67</v>
      </c>
      <c r="G339" t="s">
        <v>68</v>
      </c>
      <c r="H339">
        <v>24</v>
      </c>
      <c r="I339">
        <v>207.94</v>
      </c>
      <c r="J339" t="s">
        <v>69</v>
      </c>
      <c r="K339" t="s">
        <v>70</v>
      </c>
      <c r="L339" t="s">
        <v>71</v>
      </c>
      <c r="M339" t="s">
        <v>72</v>
      </c>
      <c r="N339">
        <v>0.05</v>
      </c>
      <c r="O339">
        <v>5.0000000000000044E-2</v>
      </c>
      <c r="P339">
        <v>24</v>
      </c>
      <c r="Q339">
        <v>0</v>
      </c>
    </row>
    <row r="340" spans="1:17" x14ac:dyDescent="0.2">
      <c r="A340" t="s">
        <v>409</v>
      </c>
      <c r="B340" t="s">
        <v>410</v>
      </c>
      <c r="C340" t="s">
        <v>411</v>
      </c>
      <c r="D340" s="8">
        <v>12560070</v>
      </c>
      <c r="E340" t="s">
        <v>15</v>
      </c>
      <c r="F340" t="s">
        <v>67</v>
      </c>
      <c r="G340" t="s">
        <v>68</v>
      </c>
      <c r="H340">
        <v>8</v>
      </c>
      <c r="I340">
        <v>38.28</v>
      </c>
      <c r="J340" t="s">
        <v>69</v>
      </c>
      <c r="K340" t="s">
        <v>70</v>
      </c>
      <c r="L340" t="s">
        <v>71</v>
      </c>
      <c r="M340" t="s">
        <v>72</v>
      </c>
      <c r="N340">
        <v>0.01</v>
      </c>
      <c r="O340">
        <v>1.0000000000000009E-2</v>
      </c>
      <c r="P340">
        <v>8</v>
      </c>
      <c r="Q340">
        <v>0</v>
      </c>
    </row>
    <row r="341" spans="1:17" x14ac:dyDescent="0.2">
      <c r="A341" t="s">
        <v>412</v>
      </c>
      <c r="B341" t="s">
        <v>413</v>
      </c>
      <c r="C341" t="s">
        <v>414</v>
      </c>
      <c r="D341" s="8">
        <v>43564</v>
      </c>
      <c r="E341" t="s">
        <v>97</v>
      </c>
      <c r="F341" t="s">
        <v>67</v>
      </c>
      <c r="G341" t="s">
        <v>68</v>
      </c>
      <c r="H341">
        <v>1</v>
      </c>
      <c r="I341">
        <v>67.27</v>
      </c>
      <c r="J341" t="s">
        <v>69</v>
      </c>
      <c r="K341" t="s">
        <v>70</v>
      </c>
      <c r="L341" t="s">
        <v>71</v>
      </c>
      <c r="M341" t="s">
        <v>72</v>
      </c>
      <c r="N341">
        <v>1</v>
      </c>
      <c r="O341">
        <v>0</v>
      </c>
      <c r="P341">
        <v>0</v>
      </c>
      <c r="Q341">
        <v>1</v>
      </c>
    </row>
    <row r="342" spans="1:17" x14ac:dyDescent="0.2">
      <c r="A342" t="s">
        <v>412</v>
      </c>
      <c r="B342" t="s">
        <v>413</v>
      </c>
      <c r="C342" t="s">
        <v>414</v>
      </c>
      <c r="D342" s="8">
        <v>12613402</v>
      </c>
      <c r="E342" t="s">
        <v>73</v>
      </c>
      <c r="F342" t="s">
        <v>67</v>
      </c>
      <c r="G342" t="s">
        <v>68</v>
      </c>
      <c r="H342">
        <v>6</v>
      </c>
      <c r="I342">
        <v>18.32</v>
      </c>
      <c r="J342" t="s">
        <v>69</v>
      </c>
      <c r="K342" t="s">
        <v>70</v>
      </c>
      <c r="L342" t="s">
        <v>71</v>
      </c>
      <c r="M342" t="s">
        <v>72</v>
      </c>
      <c r="N342">
        <v>0.01</v>
      </c>
      <c r="O342">
        <v>1.0000000000000009E-2</v>
      </c>
      <c r="P342">
        <v>6</v>
      </c>
      <c r="Q342">
        <v>0</v>
      </c>
    </row>
    <row r="343" spans="1:17" x14ac:dyDescent="0.2">
      <c r="A343" t="s">
        <v>412</v>
      </c>
      <c r="B343" t="s">
        <v>413</v>
      </c>
      <c r="C343" t="s">
        <v>414</v>
      </c>
      <c r="D343" s="8">
        <v>12605994</v>
      </c>
      <c r="E343" t="s">
        <v>85</v>
      </c>
      <c r="F343" t="s">
        <v>67</v>
      </c>
      <c r="G343" t="s">
        <v>68</v>
      </c>
      <c r="H343">
        <v>2</v>
      </c>
      <c r="I343">
        <v>37.5</v>
      </c>
      <c r="J343" t="s">
        <v>69</v>
      </c>
      <c r="K343" t="s">
        <v>70</v>
      </c>
      <c r="L343" t="s">
        <v>71</v>
      </c>
      <c r="M343" t="s">
        <v>72</v>
      </c>
      <c r="N343">
        <v>0.01</v>
      </c>
      <c r="O343">
        <v>1.0000000000000009E-2</v>
      </c>
      <c r="P343">
        <v>2</v>
      </c>
      <c r="Q343">
        <v>0</v>
      </c>
    </row>
    <row r="344" spans="1:17" x14ac:dyDescent="0.2">
      <c r="A344" t="s">
        <v>412</v>
      </c>
      <c r="B344" t="s">
        <v>413</v>
      </c>
      <c r="C344" t="s">
        <v>414</v>
      </c>
      <c r="D344" s="8">
        <v>12436421</v>
      </c>
      <c r="E344" t="s">
        <v>6</v>
      </c>
      <c r="F344" t="s">
        <v>67</v>
      </c>
      <c r="G344" t="s">
        <v>68</v>
      </c>
      <c r="H344">
        <v>4</v>
      </c>
      <c r="I344">
        <v>42.99</v>
      </c>
      <c r="J344" t="s">
        <v>69</v>
      </c>
      <c r="K344" t="s">
        <v>70</v>
      </c>
      <c r="L344" t="s">
        <v>71</v>
      </c>
      <c r="M344" t="s">
        <v>72</v>
      </c>
      <c r="N344">
        <v>0.02</v>
      </c>
      <c r="O344">
        <v>2.0000000000000018E-2</v>
      </c>
      <c r="P344">
        <v>4</v>
      </c>
      <c r="Q344">
        <v>0</v>
      </c>
    </row>
    <row r="345" spans="1:17" x14ac:dyDescent="0.2">
      <c r="A345" t="s">
        <v>412</v>
      </c>
      <c r="B345" t="s">
        <v>413</v>
      </c>
      <c r="C345" t="s">
        <v>414</v>
      </c>
      <c r="D345" s="8">
        <v>12604377</v>
      </c>
      <c r="E345" t="s">
        <v>93</v>
      </c>
      <c r="F345" t="s">
        <v>67</v>
      </c>
      <c r="G345" t="s">
        <v>68</v>
      </c>
      <c r="H345">
        <v>5</v>
      </c>
      <c r="I345">
        <v>67.27</v>
      </c>
      <c r="J345" t="s">
        <v>69</v>
      </c>
      <c r="K345" t="s">
        <v>70</v>
      </c>
      <c r="L345" t="s">
        <v>71</v>
      </c>
      <c r="M345" t="s">
        <v>72</v>
      </c>
      <c r="N345">
        <v>0.03</v>
      </c>
      <c r="O345">
        <v>3.0000000000000027E-2</v>
      </c>
      <c r="P345">
        <v>5</v>
      </c>
      <c r="Q345">
        <v>0</v>
      </c>
    </row>
    <row r="346" spans="1:17" x14ac:dyDescent="0.2">
      <c r="A346" t="s">
        <v>412</v>
      </c>
      <c r="B346" t="s">
        <v>413</v>
      </c>
      <c r="C346" t="s">
        <v>414</v>
      </c>
      <c r="D346" s="8">
        <v>12575127</v>
      </c>
      <c r="E346" t="s">
        <v>13</v>
      </c>
      <c r="F346" t="s">
        <v>67</v>
      </c>
      <c r="G346" t="s">
        <v>68</v>
      </c>
      <c r="H346">
        <v>12</v>
      </c>
      <c r="I346">
        <v>103.97</v>
      </c>
      <c r="J346" t="s">
        <v>69</v>
      </c>
      <c r="K346" t="s">
        <v>70</v>
      </c>
      <c r="L346" t="s">
        <v>71</v>
      </c>
      <c r="M346" t="s">
        <v>72</v>
      </c>
      <c r="N346">
        <v>0.02</v>
      </c>
      <c r="O346">
        <v>2.0000000000000018E-2</v>
      </c>
      <c r="P346">
        <v>12</v>
      </c>
      <c r="Q346">
        <v>0</v>
      </c>
    </row>
    <row r="347" spans="1:17" x14ac:dyDescent="0.2">
      <c r="A347" t="s">
        <v>412</v>
      </c>
      <c r="B347" t="s">
        <v>413</v>
      </c>
      <c r="C347" t="s">
        <v>414</v>
      </c>
      <c r="D347" s="8">
        <v>12560070</v>
      </c>
      <c r="E347" t="s">
        <v>15</v>
      </c>
      <c r="F347" t="s">
        <v>67</v>
      </c>
      <c r="G347" t="s">
        <v>68</v>
      </c>
      <c r="H347">
        <v>8</v>
      </c>
      <c r="I347">
        <v>38.28</v>
      </c>
      <c r="J347" t="s">
        <v>69</v>
      </c>
      <c r="K347" t="s">
        <v>70</v>
      </c>
      <c r="L347" t="s">
        <v>71</v>
      </c>
      <c r="M347" t="s">
        <v>72</v>
      </c>
      <c r="N347">
        <v>0.01</v>
      </c>
      <c r="O347">
        <v>1.0000000000000009E-2</v>
      </c>
      <c r="P347">
        <v>8</v>
      </c>
      <c r="Q347">
        <v>0</v>
      </c>
    </row>
    <row r="348" spans="1:17" x14ac:dyDescent="0.2">
      <c r="A348" t="s">
        <v>415</v>
      </c>
      <c r="B348" t="s">
        <v>416</v>
      </c>
      <c r="C348" t="s">
        <v>417</v>
      </c>
      <c r="D348" s="8">
        <v>43564</v>
      </c>
      <c r="E348" t="s">
        <v>97</v>
      </c>
      <c r="F348" t="s">
        <v>67</v>
      </c>
      <c r="G348" t="s">
        <v>68</v>
      </c>
      <c r="H348">
        <v>1</v>
      </c>
      <c r="I348">
        <v>67.27</v>
      </c>
      <c r="J348" t="s">
        <v>69</v>
      </c>
      <c r="K348" t="s">
        <v>70</v>
      </c>
      <c r="L348" t="s">
        <v>71</v>
      </c>
      <c r="M348" t="s">
        <v>72</v>
      </c>
      <c r="N348">
        <v>1</v>
      </c>
      <c r="O348">
        <v>0</v>
      </c>
      <c r="P348">
        <v>0</v>
      </c>
      <c r="Q348">
        <v>1</v>
      </c>
    </row>
    <row r="349" spans="1:17" x14ac:dyDescent="0.2">
      <c r="A349" t="s">
        <v>415</v>
      </c>
      <c r="B349" t="s">
        <v>416</v>
      </c>
      <c r="C349" t="s">
        <v>417</v>
      </c>
      <c r="D349" s="8">
        <v>12613402</v>
      </c>
      <c r="E349" t="s">
        <v>73</v>
      </c>
      <c r="F349" t="s">
        <v>67</v>
      </c>
      <c r="G349" t="s">
        <v>68</v>
      </c>
      <c r="H349">
        <v>6</v>
      </c>
      <c r="I349">
        <v>18.32</v>
      </c>
      <c r="J349" t="s">
        <v>69</v>
      </c>
      <c r="K349" t="s">
        <v>70</v>
      </c>
      <c r="L349" t="s">
        <v>71</v>
      </c>
      <c r="M349" t="s">
        <v>72</v>
      </c>
      <c r="N349">
        <v>0.01</v>
      </c>
      <c r="O349">
        <v>1.0000000000000009E-2</v>
      </c>
      <c r="P349">
        <v>6</v>
      </c>
      <c r="Q349">
        <v>0</v>
      </c>
    </row>
    <row r="350" spans="1:17" x14ac:dyDescent="0.2">
      <c r="A350" t="s">
        <v>415</v>
      </c>
      <c r="B350" t="s">
        <v>416</v>
      </c>
      <c r="C350" t="s">
        <v>417</v>
      </c>
      <c r="D350" s="8">
        <v>12605994</v>
      </c>
      <c r="E350" t="s">
        <v>85</v>
      </c>
      <c r="F350" t="s">
        <v>67</v>
      </c>
      <c r="G350" t="s">
        <v>68</v>
      </c>
      <c r="H350">
        <v>2</v>
      </c>
      <c r="I350">
        <v>37.5</v>
      </c>
      <c r="J350" t="s">
        <v>69</v>
      </c>
      <c r="K350" t="s">
        <v>70</v>
      </c>
      <c r="L350" t="s">
        <v>71</v>
      </c>
      <c r="M350" t="s">
        <v>72</v>
      </c>
      <c r="N350">
        <v>0.01</v>
      </c>
      <c r="O350">
        <v>1.0000000000000009E-2</v>
      </c>
      <c r="P350">
        <v>2</v>
      </c>
      <c r="Q350">
        <v>0</v>
      </c>
    </row>
    <row r="351" spans="1:17" x14ac:dyDescent="0.2">
      <c r="A351" t="s">
        <v>415</v>
      </c>
      <c r="B351" t="s">
        <v>416</v>
      </c>
      <c r="C351" t="s">
        <v>417</v>
      </c>
      <c r="D351" s="8">
        <v>12520698</v>
      </c>
      <c r="E351" t="s">
        <v>37</v>
      </c>
      <c r="F351" t="s">
        <v>67</v>
      </c>
      <c r="G351" t="s">
        <v>68</v>
      </c>
      <c r="H351">
        <v>24</v>
      </c>
      <c r="I351">
        <v>154.38999999999999</v>
      </c>
      <c r="J351" t="s">
        <v>69</v>
      </c>
      <c r="K351" t="s">
        <v>70</v>
      </c>
      <c r="L351" t="s">
        <v>71</v>
      </c>
      <c r="M351" t="s">
        <v>72</v>
      </c>
      <c r="N351">
        <v>0.17</v>
      </c>
      <c r="O351">
        <v>0.16999999999999993</v>
      </c>
      <c r="P351">
        <v>24</v>
      </c>
      <c r="Q351">
        <v>0</v>
      </c>
    </row>
    <row r="352" spans="1:17" x14ac:dyDescent="0.2">
      <c r="A352" t="s">
        <v>415</v>
      </c>
      <c r="B352" t="s">
        <v>416</v>
      </c>
      <c r="C352" t="s">
        <v>417</v>
      </c>
      <c r="D352" s="8">
        <v>12436421</v>
      </c>
      <c r="E352" t="s">
        <v>6</v>
      </c>
      <c r="F352" t="s">
        <v>67</v>
      </c>
      <c r="G352" t="s">
        <v>68</v>
      </c>
      <c r="H352">
        <v>4</v>
      </c>
      <c r="I352">
        <v>42.99</v>
      </c>
      <c r="J352" t="s">
        <v>69</v>
      </c>
      <c r="K352" t="s">
        <v>70</v>
      </c>
      <c r="L352" t="s">
        <v>71</v>
      </c>
      <c r="M352" t="s">
        <v>72</v>
      </c>
      <c r="N352">
        <v>0.02</v>
      </c>
      <c r="O352">
        <v>2.0000000000000018E-2</v>
      </c>
      <c r="P352">
        <v>4</v>
      </c>
      <c r="Q352">
        <v>0</v>
      </c>
    </row>
    <row r="353" spans="1:17" x14ac:dyDescent="0.2">
      <c r="A353" t="s">
        <v>415</v>
      </c>
      <c r="B353" t="s">
        <v>416</v>
      </c>
      <c r="C353" t="s">
        <v>417</v>
      </c>
      <c r="D353" s="8">
        <v>12604377</v>
      </c>
      <c r="E353" t="s">
        <v>93</v>
      </c>
      <c r="F353" t="s">
        <v>67</v>
      </c>
      <c r="G353" t="s">
        <v>68</v>
      </c>
      <c r="H353">
        <v>5</v>
      </c>
      <c r="I353">
        <v>67.27</v>
      </c>
      <c r="J353" t="s">
        <v>69</v>
      </c>
      <c r="K353" t="s">
        <v>70</v>
      </c>
      <c r="L353" t="s">
        <v>71</v>
      </c>
      <c r="M353" t="s">
        <v>72</v>
      </c>
      <c r="N353">
        <v>0.03</v>
      </c>
      <c r="O353">
        <v>3.0000000000000027E-2</v>
      </c>
      <c r="P353">
        <v>5</v>
      </c>
      <c r="Q353">
        <v>0</v>
      </c>
    </row>
    <row r="354" spans="1:17" x14ac:dyDescent="0.2">
      <c r="A354" t="s">
        <v>415</v>
      </c>
      <c r="B354" t="s">
        <v>416</v>
      </c>
      <c r="C354" t="s">
        <v>417</v>
      </c>
      <c r="D354" s="8">
        <v>12575127</v>
      </c>
      <c r="E354" t="s">
        <v>13</v>
      </c>
      <c r="F354" t="s">
        <v>67</v>
      </c>
      <c r="G354" t="s">
        <v>68</v>
      </c>
      <c r="H354">
        <v>24</v>
      </c>
      <c r="I354">
        <v>207.94</v>
      </c>
      <c r="J354" t="s">
        <v>69</v>
      </c>
      <c r="K354" t="s">
        <v>70</v>
      </c>
      <c r="L354" t="s">
        <v>71</v>
      </c>
      <c r="M354" t="s">
        <v>72</v>
      </c>
      <c r="N354">
        <v>0.05</v>
      </c>
      <c r="O354">
        <v>5.0000000000000044E-2</v>
      </c>
      <c r="P354">
        <v>24</v>
      </c>
      <c r="Q354">
        <v>0</v>
      </c>
    </row>
    <row r="355" spans="1:17" x14ac:dyDescent="0.2">
      <c r="A355" t="s">
        <v>415</v>
      </c>
      <c r="B355" t="s">
        <v>416</v>
      </c>
      <c r="C355" t="s">
        <v>417</v>
      </c>
      <c r="D355" s="8">
        <v>12560070</v>
      </c>
      <c r="E355" t="s">
        <v>15</v>
      </c>
      <c r="F355" t="s">
        <v>67</v>
      </c>
      <c r="G355" t="s">
        <v>68</v>
      </c>
      <c r="H355">
        <v>8</v>
      </c>
      <c r="I355">
        <v>38.28</v>
      </c>
      <c r="J355" t="s">
        <v>69</v>
      </c>
      <c r="K355" t="s">
        <v>70</v>
      </c>
      <c r="L355" t="s">
        <v>71</v>
      </c>
      <c r="M355" t="s">
        <v>72</v>
      </c>
      <c r="N355">
        <v>0.01</v>
      </c>
      <c r="O355">
        <v>1.0000000000000009E-2</v>
      </c>
      <c r="P355">
        <v>8</v>
      </c>
      <c r="Q355">
        <v>0</v>
      </c>
    </row>
    <row r="356" spans="1:17" x14ac:dyDescent="0.2">
      <c r="A356" t="s">
        <v>418</v>
      </c>
      <c r="B356" t="s">
        <v>419</v>
      </c>
      <c r="C356" t="s">
        <v>420</v>
      </c>
      <c r="D356" s="8">
        <v>12436421</v>
      </c>
      <c r="E356" t="s">
        <v>6</v>
      </c>
      <c r="F356" t="s">
        <v>67</v>
      </c>
      <c r="G356" t="s">
        <v>68</v>
      </c>
      <c r="H356">
        <v>8</v>
      </c>
      <c r="I356">
        <v>85.97</v>
      </c>
      <c r="J356" t="s">
        <v>91</v>
      </c>
      <c r="K356" t="s">
        <v>70</v>
      </c>
      <c r="L356" t="s">
        <v>71</v>
      </c>
      <c r="M356" t="s">
        <v>72</v>
      </c>
      <c r="N356">
        <v>0.04</v>
      </c>
      <c r="O356">
        <v>4.0000000000000036E-2</v>
      </c>
      <c r="P356">
        <v>8</v>
      </c>
      <c r="Q356">
        <v>0</v>
      </c>
    </row>
    <row r="357" spans="1:17" x14ac:dyDescent="0.2">
      <c r="A357" t="s">
        <v>421</v>
      </c>
      <c r="B357" t="s">
        <v>422</v>
      </c>
      <c r="C357" t="s">
        <v>423</v>
      </c>
      <c r="D357" s="8">
        <v>12436421</v>
      </c>
      <c r="E357" t="s">
        <v>6</v>
      </c>
      <c r="F357" t="s">
        <v>67</v>
      </c>
      <c r="G357" t="s">
        <v>68</v>
      </c>
      <c r="H357">
        <v>8</v>
      </c>
      <c r="I357">
        <v>85.97</v>
      </c>
      <c r="J357" t="s">
        <v>91</v>
      </c>
      <c r="K357" t="s">
        <v>70</v>
      </c>
      <c r="L357" t="s">
        <v>71</v>
      </c>
      <c r="M357" t="s">
        <v>72</v>
      </c>
      <c r="N357">
        <v>0.04</v>
      </c>
      <c r="O357">
        <v>4.0000000000000036E-2</v>
      </c>
      <c r="P357">
        <v>8</v>
      </c>
      <c r="Q357">
        <v>0</v>
      </c>
    </row>
    <row r="358" spans="1:17" x14ac:dyDescent="0.2">
      <c r="A358" t="s">
        <v>424</v>
      </c>
      <c r="B358" t="s">
        <v>425</v>
      </c>
      <c r="C358" t="s">
        <v>426</v>
      </c>
      <c r="D358" s="8">
        <v>12436421</v>
      </c>
      <c r="E358" t="s">
        <v>6</v>
      </c>
      <c r="F358" t="s">
        <v>67</v>
      </c>
      <c r="G358" t="s">
        <v>68</v>
      </c>
      <c r="H358">
        <v>8</v>
      </c>
      <c r="I358">
        <v>85.97</v>
      </c>
      <c r="J358" t="s">
        <v>91</v>
      </c>
      <c r="K358" t="s">
        <v>70</v>
      </c>
      <c r="L358" t="s">
        <v>71</v>
      </c>
      <c r="M358" t="s">
        <v>72</v>
      </c>
      <c r="N358">
        <v>0.04</v>
      </c>
      <c r="O358">
        <v>4.0000000000000036E-2</v>
      </c>
      <c r="P358">
        <v>8</v>
      </c>
      <c r="Q358">
        <v>0</v>
      </c>
    </row>
    <row r="359" spans="1:17" x14ac:dyDescent="0.2">
      <c r="A359" t="s">
        <v>427</v>
      </c>
      <c r="B359" t="s">
        <v>428</v>
      </c>
      <c r="C359" t="s">
        <v>429</v>
      </c>
      <c r="D359" s="8">
        <v>12436421</v>
      </c>
      <c r="E359" t="s">
        <v>6</v>
      </c>
      <c r="F359" t="s">
        <v>67</v>
      </c>
      <c r="G359" t="s">
        <v>68</v>
      </c>
      <c r="H359">
        <v>8</v>
      </c>
      <c r="I359">
        <v>85.97</v>
      </c>
      <c r="J359" t="s">
        <v>91</v>
      </c>
      <c r="K359" t="s">
        <v>70</v>
      </c>
      <c r="L359" t="s">
        <v>71</v>
      </c>
      <c r="M359" t="s">
        <v>72</v>
      </c>
      <c r="N359">
        <v>0.04</v>
      </c>
      <c r="O359">
        <v>4.0000000000000036E-2</v>
      </c>
      <c r="P359">
        <v>8</v>
      </c>
      <c r="Q359">
        <v>0</v>
      </c>
    </row>
    <row r="360" spans="1:17" x14ac:dyDescent="0.2">
      <c r="A360" t="s">
        <v>430</v>
      </c>
      <c r="B360" t="s">
        <v>431</v>
      </c>
      <c r="C360" t="s">
        <v>432</v>
      </c>
      <c r="D360" s="8">
        <v>12436421</v>
      </c>
      <c r="E360" t="s">
        <v>6</v>
      </c>
      <c r="F360" t="s">
        <v>67</v>
      </c>
      <c r="G360" t="s">
        <v>68</v>
      </c>
      <c r="H360">
        <v>8</v>
      </c>
      <c r="I360">
        <v>85.97</v>
      </c>
      <c r="J360" t="s">
        <v>91</v>
      </c>
      <c r="K360" t="s">
        <v>70</v>
      </c>
      <c r="L360" t="s">
        <v>71</v>
      </c>
      <c r="M360" t="s">
        <v>72</v>
      </c>
      <c r="N360">
        <v>0.04</v>
      </c>
      <c r="O360">
        <v>4.0000000000000036E-2</v>
      </c>
      <c r="P360">
        <v>8</v>
      </c>
      <c r="Q360">
        <v>0</v>
      </c>
    </row>
    <row r="361" spans="1:17" x14ac:dyDescent="0.2">
      <c r="A361" t="s">
        <v>433</v>
      </c>
      <c r="B361" t="s">
        <v>434</v>
      </c>
      <c r="C361" t="s">
        <v>435</v>
      </c>
      <c r="D361" s="8">
        <v>12436421</v>
      </c>
      <c r="E361" t="s">
        <v>6</v>
      </c>
      <c r="F361" t="s">
        <v>67</v>
      </c>
      <c r="G361" t="s">
        <v>68</v>
      </c>
      <c r="H361">
        <v>16</v>
      </c>
      <c r="I361">
        <v>171.94</v>
      </c>
      <c r="J361" t="s">
        <v>91</v>
      </c>
      <c r="K361" t="s">
        <v>70</v>
      </c>
      <c r="L361" t="s">
        <v>71</v>
      </c>
      <c r="M361" t="s">
        <v>72</v>
      </c>
      <c r="N361">
        <v>0.08</v>
      </c>
      <c r="O361">
        <v>8.0000000000000071E-2</v>
      </c>
      <c r="P361">
        <v>16</v>
      </c>
      <c r="Q361">
        <v>0</v>
      </c>
    </row>
    <row r="362" spans="1:17" x14ac:dyDescent="0.2">
      <c r="A362" t="s">
        <v>436</v>
      </c>
      <c r="B362" t="s">
        <v>437</v>
      </c>
      <c r="C362" t="s">
        <v>438</v>
      </c>
      <c r="D362" s="8">
        <v>12436421</v>
      </c>
      <c r="E362" t="s">
        <v>6</v>
      </c>
      <c r="F362" t="s">
        <v>67</v>
      </c>
      <c r="G362" t="s">
        <v>68</v>
      </c>
      <c r="H362">
        <v>8</v>
      </c>
      <c r="I362">
        <v>85.97</v>
      </c>
      <c r="J362" t="s">
        <v>91</v>
      </c>
      <c r="K362" t="s">
        <v>70</v>
      </c>
      <c r="L362" t="s">
        <v>71</v>
      </c>
      <c r="M362" t="s">
        <v>72</v>
      </c>
      <c r="N362">
        <v>0.04</v>
      </c>
      <c r="O362">
        <v>4.0000000000000036E-2</v>
      </c>
      <c r="P362">
        <v>8</v>
      </c>
      <c r="Q362">
        <v>0</v>
      </c>
    </row>
    <row r="363" spans="1:17" x14ac:dyDescent="0.2">
      <c r="A363" t="s">
        <v>439</v>
      </c>
      <c r="B363" t="s">
        <v>437</v>
      </c>
      <c r="C363" t="s">
        <v>438</v>
      </c>
      <c r="D363" s="8">
        <v>43564</v>
      </c>
      <c r="E363" t="s">
        <v>97</v>
      </c>
      <c r="F363" t="s">
        <v>67</v>
      </c>
      <c r="G363" t="s">
        <v>68</v>
      </c>
      <c r="H363">
        <v>5</v>
      </c>
      <c r="I363">
        <v>336.34</v>
      </c>
      <c r="J363" t="s">
        <v>91</v>
      </c>
      <c r="K363" t="s">
        <v>70</v>
      </c>
      <c r="L363" t="s">
        <v>71</v>
      </c>
      <c r="M363" t="s">
        <v>72</v>
      </c>
      <c r="N363">
        <v>5</v>
      </c>
      <c r="O363">
        <v>0</v>
      </c>
      <c r="P363">
        <v>0</v>
      </c>
      <c r="Q363">
        <v>5</v>
      </c>
    </row>
    <row r="364" spans="1:17" x14ac:dyDescent="0.2">
      <c r="A364" t="s">
        <v>439</v>
      </c>
      <c r="B364" t="s">
        <v>437</v>
      </c>
      <c r="C364" t="s">
        <v>438</v>
      </c>
      <c r="D364" s="8">
        <v>12613402</v>
      </c>
      <c r="E364" t="s">
        <v>73</v>
      </c>
      <c r="F364" t="s">
        <v>67</v>
      </c>
      <c r="G364" t="s">
        <v>68</v>
      </c>
      <c r="H364">
        <v>48</v>
      </c>
      <c r="I364">
        <v>146.63</v>
      </c>
      <c r="J364" t="s">
        <v>91</v>
      </c>
      <c r="K364" t="s">
        <v>70</v>
      </c>
      <c r="L364" t="s">
        <v>71</v>
      </c>
      <c r="M364" t="s">
        <v>72</v>
      </c>
      <c r="N364">
        <v>0.05</v>
      </c>
      <c r="O364">
        <v>5.0000000000000044E-2</v>
      </c>
      <c r="P364">
        <v>48</v>
      </c>
      <c r="Q364">
        <v>0</v>
      </c>
    </row>
    <row r="365" spans="1:17" x14ac:dyDescent="0.2">
      <c r="A365" t="s">
        <v>439</v>
      </c>
      <c r="B365" t="s">
        <v>437</v>
      </c>
      <c r="C365" t="s">
        <v>438</v>
      </c>
      <c r="D365" s="8">
        <v>12436421</v>
      </c>
      <c r="E365" t="s">
        <v>6</v>
      </c>
      <c r="F365" t="s">
        <v>67</v>
      </c>
      <c r="G365" t="s">
        <v>68</v>
      </c>
      <c r="H365">
        <v>40</v>
      </c>
      <c r="I365">
        <v>429.86</v>
      </c>
      <c r="J365" t="s">
        <v>91</v>
      </c>
      <c r="K365" t="s">
        <v>70</v>
      </c>
      <c r="L365" t="s">
        <v>71</v>
      </c>
      <c r="M365" t="s">
        <v>72</v>
      </c>
      <c r="N365">
        <v>0.21</v>
      </c>
      <c r="O365">
        <v>0.20999999999999996</v>
      </c>
      <c r="P365">
        <v>40</v>
      </c>
      <c r="Q365">
        <v>0</v>
      </c>
    </row>
    <row r="366" spans="1:17" x14ac:dyDescent="0.2">
      <c r="A366" t="s">
        <v>440</v>
      </c>
      <c r="B366" t="s">
        <v>441</v>
      </c>
      <c r="C366" t="s">
        <v>442</v>
      </c>
      <c r="D366" s="8">
        <v>12436421</v>
      </c>
      <c r="E366" t="s">
        <v>6</v>
      </c>
      <c r="F366" t="s">
        <v>67</v>
      </c>
      <c r="G366" t="s">
        <v>68</v>
      </c>
      <c r="H366">
        <v>8</v>
      </c>
      <c r="I366">
        <v>85.97</v>
      </c>
      <c r="J366" t="s">
        <v>91</v>
      </c>
      <c r="K366" t="s">
        <v>70</v>
      </c>
      <c r="L366" t="s">
        <v>71</v>
      </c>
      <c r="M366" t="s">
        <v>72</v>
      </c>
      <c r="N366">
        <v>0.04</v>
      </c>
      <c r="O366">
        <v>4.0000000000000036E-2</v>
      </c>
      <c r="P366">
        <v>8</v>
      </c>
      <c r="Q366">
        <v>0</v>
      </c>
    </row>
    <row r="367" spans="1:17" x14ac:dyDescent="0.2">
      <c r="A367" t="s">
        <v>443</v>
      </c>
      <c r="B367" t="s">
        <v>444</v>
      </c>
      <c r="C367" t="s">
        <v>445</v>
      </c>
      <c r="D367" s="8">
        <v>12436421</v>
      </c>
      <c r="E367" t="s">
        <v>6</v>
      </c>
      <c r="F367" t="s">
        <v>67</v>
      </c>
      <c r="G367" t="s">
        <v>68</v>
      </c>
      <c r="H367">
        <v>8</v>
      </c>
      <c r="I367">
        <v>85.97</v>
      </c>
      <c r="J367" t="s">
        <v>91</v>
      </c>
      <c r="K367" t="s">
        <v>70</v>
      </c>
      <c r="L367" t="s">
        <v>71</v>
      </c>
      <c r="M367" t="s">
        <v>72</v>
      </c>
      <c r="N367">
        <v>0.04</v>
      </c>
      <c r="O367">
        <v>4.0000000000000036E-2</v>
      </c>
      <c r="P367">
        <v>8</v>
      </c>
      <c r="Q367">
        <v>0</v>
      </c>
    </row>
    <row r="368" spans="1:17" x14ac:dyDescent="0.2">
      <c r="A368" t="s">
        <v>446</v>
      </c>
      <c r="B368" t="s">
        <v>447</v>
      </c>
      <c r="C368" t="s">
        <v>448</v>
      </c>
      <c r="D368" s="8">
        <v>12436421</v>
      </c>
      <c r="E368" t="s">
        <v>6</v>
      </c>
      <c r="F368" t="s">
        <v>67</v>
      </c>
      <c r="G368" t="s">
        <v>68</v>
      </c>
      <c r="H368">
        <v>8</v>
      </c>
      <c r="I368">
        <v>85.97</v>
      </c>
      <c r="J368" t="s">
        <v>91</v>
      </c>
      <c r="K368" t="s">
        <v>70</v>
      </c>
      <c r="L368" t="s">
        <v>71</v>
      </c>
      <c r="M368" t="s">
        <v>72</v>
      </c>
      <c r="N368">
        <v>0.04</v>
      </c>
      <c r="O368">
        <v>4.0000000000000036E-2</v>
      </c>
      <c r="P368">
        <v>8</v>
      </c>
      <c r="Q368">
        <v>0</v>
      </c>
    </row>
    <row r="369" spans="1:17" x14ac:dyDescent="0.2">
      <c r="A369" t="s">
        <v>449</v>
      </c>
      <c r="B369" t="s">
        <v>450</v>
      </c>
      <c r="C369" t="s">
        <v>451</v>
      </c>
      <c r="D369" s="8">
        <v>12436421</v>
      </c>
      <c r="E369" t="s">
        <v>6</v>
      </c>
      <c r="F369" t="s">
        <v>67</v>
      </c>
      <c r="G369" t="s">
        <v>68</v>
      </c>
      <c r="H369">
        <v>16</v>
      </c>
      <c r="I369">
        <v>171.94</v>
      </c>
      <c r="J369" t="s">
        <v>91</v>
      </c>
      <c r="K369" t="s">
        <v>70</v>
      </c>
      <c r="L369" t="s">
        <v>71</v>
      </c>
      <c r="M369" t="s">
        <v>72</v>
      </c>
      <c r="N369">
        <v>0.08</v>
      </c>
      <c r="O369">
        <v>8.0000000000000071E-2</v>
      </c>
      <c r="P369">
        <v>16</v>
      </c>
      <c r="Q369">
        <v>0</v>
      </c>
    </row>
    <row r="370" spans="1:17" x14ac:dyDescent="0.2">
      <c r="A370" t="s">
        <v>452</v>
      </c>
      <c r="B370" t="s">
        <v>453</v>
      </c>
      <c r="C370" t="s">
        <v>454</v>
      </c>
      <c r="D370" s="8">
        <v>12436421</v>
      </c>
      <c r="E370" t="s">
        <v>6</v>
      </c>
      <c r="F370" t="s">
        <v>67</v>
      </c>
      <c r="G370" t="s">
        <v>68</v>
      </c>
      <c r="H370">
        <v>8</v>
      </c>
      <c r="I370">
        <v>85.97</v>
      </c>
      <c r="J370" t="s">
        <v>91</v>
      </c>
      <c r="K370" t="s">
        <v>70</v>
      </c>
      <c r="L370" t="s">
        <v>71</v>
      </c>
      <c r="M370" t="s">
        <v>72</v>
      </c>
      <c r="N370">
        <v>0.04</v>
      </c>
      <c r="O370">
        <v>4.0000000000000036E-2</v>
      </c>
      <c r="P370">
        <v>8</v>
      </c>
      <c r="Q370">
        <v>0</v>
      </c>
    </row>
    <row r="371" spans="1:17" x14ac:dyDescent="0.2">
      <c r="A371" t="s">
        <v>455</v>
      </c>
      <c r="B371" t="s">
        <v>456</v>
      </c>
      <c r="C371" t="s">
        <v>151</v>
      </c>
      <c r="D371" s="8">
        <v>12608789</v>
      </c>
      <c r="E371" t="s">
        <v>28</v>
      </c>
      <c r="F371" t="s">
        <v>67</v>
      </c>
      <c r="G371" t="s">
        <v>68</v>
      </c>
      <c r="H371">
        <v>4</v>
      </c>
      <c r="I371">
        <v>755.14</v>
      </c>
      <c r="J371" t="s">
        <v>91</v>
      </c>
      <c r="K371" t="s">
        <v>70</v>
      </c>
      <c r="L371" t="s">
        <v>71</v>
      </c>
      <c r="M371" t="s">
        <v>72</v>
      </c>
      <c r="N371">
        <v>0.2</v>
      </c>
      <c r="O371">
        <v>0.19999999999999996</v>
      </c>
      <c r="P371">
        <v>4</v>
      </c>
      <c r="Q371">
        <v>0</v>
      </c>
    </row>
    <row r="372" spans="1:17" x14ac:dyDescent="0.2">
      <c r="A372" t="s">
        <v>455</v>
      </c>
      <c r="B372" t="s">
        <v>456</v>
      </c>
      <c r="C372" t="s">
        <v>151</v>
      </c>
      <c r="D372" s="8">
        <v>12608916</v>
      </c>
      <c r="E372" t="s">
        <v>16</v>
      </c>
      <c r="F372" t="s">
        <v>67</v>
      </c>
      <c r="G372" t="s">
        <v>68</v>
      </c>
      <c r="H372">
        <v>4</v>
      </c>
      <c r="I372">
        <v>736.27</v>
      </c>
      <c r="J372" t="s">
        <v>91</v>
      </c>
      <c r="K372" t="s">
        <v>70</v>
      </c>
      <c r="L372" t="s">
        <v>71</v>
      </c>
      <c r="M372" t="s">
        <v>72</v>
      </c>
      <c r="N372">
        <v>0.2</v>
      </c>
      <c r="O372">
        <v>0.19999999999999996</v>
      </c>
      <c r="P372">
        <v>4</v>
      </c>
      <c r="Q372">
        <v>0</v>
      </c>
    </row>
    <row r="373" spans="1:17" x14ac:dyDescent="0.2">
      <c r="A373" t="s">
        <v>455</v>
      </c>
      <c r="B373" t="s">
        <v>456</v>
      </c>
      <c r="C373" t="s">
        <v>151</v>
      </c>
      <c r="D373" s="8">
        <v>12612587</v>
      </c>
      <c r="E373" t="s">
        <v>101</v>
      </c>
      <c r="F373" t="s">
        <v>67</v>
      </c>
      <c r="G373" t="s">
        <v>68</v>
      </c>
      <c r="H373">
        <v>4</v>
      </c>
      <c r="I373">
        <v>1000.53</v>
      </c>
      <c r="J373" t="s">
        <v>91</v>
      </c>
      <c r="K373" t="s">
        <v>70</v>
      </c>
      <c r="L373" t="s">
        <v>71</v>
      </c>
      <c r="M373" t="s">
        <v>72</v>
      </c>
      <c r="N373">
        <v>0.2</v>
      </c>
      <c r="O373">
        <v>0.19999999999999996</v>
      </c>
      <c r="P373">
        <v>4</v>
      </c>
      <c r="Q373">
        <v>0</v>
      </c>
    </row>
    <row r="374" spans="1:17" x14ac:dyDescent="0.2">
      <c r="A374" t="s">
        <v>455</v>
      </c>
      <c r="B374" t="s">
        <v>456</v>
      </c>
      <c r="C374" t="s">
        <v>151</v>
      </c>
      <c r="D374" s="8">
        <v>12575072</v>
      </c>
      <c r="E374" t="s">
        <v>100</v>
      </c>
      <c r="F374" t="s">
        <v>67</v>
      </c>
      <c r="G374" t="s">
        <v>68</v>
      </c>
      <c r="H374">
        <v>6</v>
      </c>
      <c r="I374">
        <v>718.01</v>
      </c>
      <c r="J374" t="s">
        <v>91</v>
      </c>
      <c r="K374" t="s">
        <v>70</v>
      </c>
      <c r="L374" t="s">
        <v>71</v>
      </c>
      <c r="M374" t="s">
        <v>72</v>
      </c>
      <c r="N374">
        <v>0.25</v>
      </c>
      <c r="O374">
        <v>0.25</v>
      </c>
      <c r="P374">
        <v>6</v>
      </c>
      <c r="Q374">
        <v>0</v>
      </c>
    </row>
    <row r="375" spans="1:17" x14ac:dyDescent="0.2">
      <c r="A375" t="s">
        <v>455</v>
      </c>
      <c r="B375" t="s">
        <v>456</v>
      </c>
      <c r="C375" t="s">
        <v>151</v>
      </c>
      <c r="D375" s="8">
        <v>12592549</v>
      </c>
      <c r="E375" t="s">
        <v>38</v>
      </c>
      <c r="F375" t="s">
        <v>67</v>
      </c>
      <c r="G375" t="s">
        <v>68</v>
      </c>
      <c r="H375">
        <v>12</v>
      </c>
      <c r="I375">
        <v>815.55</v>
      </c>
      <c r="J375" t="s">
        <v>91</v>
      </c>
      <c r="K375" t="s">
        <v>70</v>
      </c>
      <c r="L375" t="s">
        <v>71</v>
      </c>
      <c r="M375" t="s">
        <v>72</v>
      </c>
      <c r="N375">
        <v>0.5</v>
      </c>
      <c r="O375">
        <v>0.5</v>
      </c>
      <c r="P375">
        <v>12</v>
      </c>
      <c r="Q375">
        <v>0</v>
      </c>
    </row>
    <row r="376" spans="1:17" x14ac:dyDescent="0.2">
      <c r="A376" t="s">
        <v>455</v>
      </c>
      <c r="B376" t="s">
        <v>456</v>
      </c>
      <c r="C376" t="s">
        <v>151</v>
      </c>
      <c r="D376" s="8">
        <v>12555739</v>
      </c>
      <c r="E376" t="s">
        <v>277</v>
      </c>
      <c r="F376" t="s">
        <v>67</v>
      </c>
      <c r="G376" t="s">
        <v>68</v>
      </c>
      <c r="H376">
        <v>12</v>
      </c>
      <c r="I376">
        <v>320.79000000000002</v>
      </c>
      <c r="J376" t="s">
        <v>91</v>
      </c>
      <c r="K376" t="s">
        <v>70</v>
      </c>
      <c r="L376" t="s">
        <v>71</v>
      </c>
      <c r="M376" t="s">
        <v>72</v>
      </c>
      <c r="N376">
        <v>0.38</v>
      </c>
      <c r="O376">
        <v>0.37999999999999989</v>
      </c>
      <c r="P376">
        <v>12</v>
      </c>
      <c r="Q376">
        <v>0</v>
      </c>
    </row>
    <row r="377" spans="1:17" x14ac:dyDescent="0.2">
      <c r="A377" t="s">
        <v>457</v>
      </c>
      <c r="B377" t="s">
        <v>458</v>
      </c>
      <c r="C377" t="s">
        <v>459</v>
      </c>
      <c r="D377" s="8">
        <v>12436421</v>
      </c>
      <c r="E377" t="s">
        <v>6</v>
      </c>
      <c r="F377" t="s">
        <v>67</v>
      </c>
      <c r="G377" t="s">
        <v>68</v>
      </c>
      <c r="H377">
        <v>8</v>
      </c>
      <c r="I377">
        <v>85.97</v>
      </c>
      <c r="J377" t="s">
        <v>91</v>
      </c>
      <c r="K377" t="s">
        <v>70</v>
      </c>
      <c r="L377" t="s">
        <v>71</v>
      </c>
      <c r="M377" t="s">
        <v>72</v>
      </c>
      <c r="N377">
        <v>0.04</v>
      </c>
      <c r="O377">
        <v>4.0000000000000036E-2</v>
      </c>
      <c r="P377">
        <v>8</v>
      </c>
      <c r="Q377">
        <v>0</v>
      </c>
    </row>
    <row r="378" spans="1:17" x14ac:dyDescent="0.2">
      <c r="A378" t="s">
        <v>460</v>
      </c>
      <c r="B378" t="s">
        <v>461</v>
      </c>
      <c r="C378" t="s">
        <v>462</v>
      </c>
      <c r="D378" s="8">
        <v>12436421</v>
      </c>
      <c r="E378" t="s">
        <v>6</v>
      </c>
      <c r="F378" t="s">
        <v>67</v>
      </c>
      <c r="G378" t="s">
        <v>68</v>
      </c>
      <c r="H378">
        <v>8</v>
      </c>
      <c r="I378">
        <v>85.97</v>
      </c>
      <c r="J378" t="s">
        <v>91</v>
      </c>
      <c r="K378" t="s">
        <v>70</v>
      </c>
      <c r="L378" t="s">
        <v>71</v>
      </c>
      <c r="M378" t="s">
        <v>72</v>
      </c>
      <c r="N378">
        <v>0.04</v>
      </c>
      <c r="O378">
        <v>4.0000000000000036E-2</v>
      </c>
      <c r="P378">
        <v>8</v>
      </c>
      <c r="Q378">
        <v>0</v>
      </c>
    </row>
    <row r="379" spans="1:17" x14ac:dyDescent="0.2">
      <c r="A379" t="s">
        <v>463</v>
      </c>
      <c r="B379" t="s">
        <v>464</v>
      </c>
      <c r="C379" t="s">
        <v>153</v>
      </c>
      <c r="D379" s="8">
        <v>12436421</v>
      </c>
      <c r="E379" t="s">
        <v>6</v>
      </c>
      <c r="F379" t="s">
        <v>67</v>
      </c>
      <c r="G379" t="s">
        <v>68</v>
      </c>
      <c r="H379">
        <v>8</v>
      </c>
      <c r="I379">
        <v>85.97</v>
      </c>
      <c r="J379" t="s">
        <v>91</v>
      </c>
      <c r="K379" t="s">
        <v>70</v>
      </c>
      <c r="L379" t="s">
        <v>71</v>
      </c>
      <c r="M379" t="s">
        <v>72</v>
      </c>
      <c r="N379">
        <v>0.04</v>
      </c>
      <c r="O379">
        <v>4.0000000000000036E-2</v>
      </c>
      <c r="P379">
        <v>8</v>
      </c>
      <c r="Q379">
        <v>0</v>
      </c>
    </row>
    <row r="380" spans="1:17" x14ac:dyDescent="0.2">
      <c r="A380" t="s">
        <v>463</v>
      </c>
      <c r="B380" t="s">
        <v>464</v>
      </c>
      <c r="C380" t="s">
        <v>153</v>
      </c>
      <c r="D380" s="8">
        <v>12575127</v>
      </c>
      <c r="E380" t="s">
        <v>13</v>
      </c>
      <c r="F380" t="s">
        <v>67</v>
      </c>
      <c r="G380" t="s">
        <v>68</v>
      </c>
      <c r="H380">
        <v>12</v>
      </c>
      <c r="I380">
        <v>103.97</v>
      </c>
      <c r="J380" t="s">
        <v>91</v>
      </c>
      <c r="K380" t="s">
        <v>70</v>
      </c>
      <c r="L380" t="s">
        <v>71</v>
      </c>
      <c r="M380" t="s">
        <v>72</v>
      </c>
      <c r="N380">
        <v>0.02</v>
      </c>
      <c r="O380">
        <v>2.0000000000000018E-2</v>
      </c>
      <c r="P380">
        <v>12</v>
      </c>
      <c r="Q380">
        <v>0</v>
      </c>
    </row>
    <row r="381" spans="1:17" x14ac:dyDescent="0.2">
      <c r="A381" t="s">
        <v>463</v>
      </c>
      <c r="B381" t="s">
        <v>464</v>
      </c>
      <c r="C381" t="s">
        <v>153</v>
      </c>
      <c r="D381" s="8">
        <v>12560070</v>
      </c>
      <c r="E381" t="s">
        <v>15</v>
      </c>
      <c r="F381" t="s">
        <v>67</v>
      </c>
      <c r="G381" t="s">
        <v>68</v>
      </c>
      <c r="H381">
        <v>16</v>
      </c>
      <c r="I381">
        <v>76.56</v>
      </c>
      <c r="J381" t="s">
        <v>91</v>
      </c>
      <c r="K381" t="s">
        <v>70</v>
      </c>
      <c r="L381" t="s">
        <v>71</v>
      </c>
      <c r="M381" t="s">
        <v>72</v>
      </c>
      <c r="N381">
        <v>0.02</v>
      </c>
      <c r="O381">
        <v>2.0000000000000018E-2</v>
      </c>
      <c r="P381">
        <v>16</v>
      </c>
      <c r="Q381">
        <v>0</v>
      </c>
    </row>
    <row r="382" spans="1:17" x14ac:dyDescent="0.2">
      <c r="A382" t="s">
        <v>465</v>
      </c>
      <c r="B382" t="s">
        <v>466</v>
      </c>
      <c r="C382" t="s">
        <v>467</v>
      </c>
      <c r="D382" s="8">
        <v>12436421</v>
      </c>
      <c r="E382" t="s">
        <v>6</v>
      </c>
      <c r="F382" t="s">
        <v>67</v>
      </c>
      <c r="G382" t="s">
        <v>68</v>
      </c>
      <c r="H382">
        <v>8</v>
      </c>
      <c r="I382">
        <v>85.97</v>
      </c>
      <c r="J382" t="s">
        <v>91</v>
      </c>
      <c r="K382" t="s">
        <v>70</v>
      </c>
      <c r="L382" t="s">
        <v>71</v>
      </c>
      <c r="M382" t="s">
        <v>72</v>
      </c>
      <c r="N382">
        <v>0.04</v>
      </c>
      <c r="O382">
        <v>4.0000000000000036E-2</v>
      </c>
      <c r="P382">
        <v>8</v>
      </c>
      <c r="Q382">
        <v>0</v>
      </c>
    </row>
    <row r="383" spans="1:17" x14ac:dyDescent="0.2">
      <c r="A383" t="s">
        <v>468</v>
      </c>
      <c r="B383" t="s">
        <v>469</v>
      </c>
      <c r="C383" t="s">
        <v>470</v>
      </c>
      <c r="D383" s="8">
        <v>12436421</v>
      </c>
      <c r="E383" t="s">
        <v>6</v>
      </c>
      <c r="F383" t="s">
        <v>67</v>
      </c>
      <c r="G383" t="s">
        <v>68</v>
      </c>
      <c r="H383">
        <v>8</v>
      </c>
      <c r="I383">
        <v>85.97</v>
      </c>
      <c r="J383" t="s">
        <v>91</v>
      </c>
      <c r="K383" t="s">
        <v>70</v>
      </c>
      <c r="L383" t="s">
        <v>71</v>
      </c>
      <c r="M383" t="s">
        <v>72</v>
      </c>
      <c r="N383">
        <v>0.04</v>
      </c>
      <c r="O383">
        <v>4.0000000000000036E-2</v>
      </c>
      <c r="P383">
        <v>8</v>
      </c>
      <c r="Q383">
        <v>0</v>
      </c>
    </row>
    <row r="384" spans="1:17" x14ac:dyDescent="0.2">
      <c r="A384" t="s">
        <v>471</v>
      </c>
      <c r="B384" t="s">
        <v>472</v>
      </c>
      <c r="C384" t="s">
        <v>473</v>
      </c>
      <c r="D384" s="8">
        <v>12436421</v>
      </c>
      <c r="E384" t="s">
        <v>6</v>
      </c>
      <c r="F384" t="s">
        <v>67</v>
      </c>
      <c r="G384" t="s">
        <v>68</v>
      </c>
      <c r="H384">
        <v>8</v>
      </c>
      <c r="I384">
        <v>85.97</v>
      </c>
      <c r="J384" t="s">
        <v>91</v>
      </c>
      <c r="K384" t="s">
        <v>70</v>
      </c>
      <c r="L384" t="s">
        <v>71</v>
      </c>
      <c r="M384" t="s">
        <v>72</v>
      </c>
      <c r="N384">
        <v>0.04</v>
      </c>
      <c r="O384">
        <v>4.0000000000000036E-2</v>
      </c>
      <c r="P384">
        <v>8</v>
      </c>
      <c r="Q384">
        <v>0</v>
      </c>
    </row>
    <row r="385" spans="1:17" x14ac:dyDescent="0.2">
      <c r="A385" t="s">
        <v>474</v>
      </c>
      <c r="B385" t="s">
        <v>475</v>
      </c>
      <c r="C385" t="s">
        <v>476</v>
      </c>
      <c r="D385" s="8">
        <v>12436421</v>
      </c>
      <c r="E385" t="s">
        <v>6</v>
      </c>
      <c r="F385" t="s">
        <v>67</v>
      </c>
      <c r="G385" t="s">
        <v>68</v>
      </c>
      <c r="H385">
        <v>8</v>
      </c>
      <c r="I385">
        <v>85.97</v>
      </c>
      <c r="J385" t="s">
        <v>91</v>
      </c>
      <c r="K385" t="s">
        <v>70</v>
      </c>
      <c r="L385" t="s">
        <v>71</v>
      </c>
      <c r="M385" t="s">
        <v>72</v>
      </c>
      <c r="N385">
        <v>0.04</v>
      </c>
      <c r="O385">
        <v>4.0000000000000036E-2</v>
      </c>
      <c r="P385">
        <v>8</v>
      </c>
      <c r="Q385">
        <v>0</v>
      </c>
    </row>
    <row r="386" spans="1:17" x14ac:dyDescent="0.2">
      <c r="A386" t="s">
        <v>477</v>
      </c>
      <c r="B386" t="s">
        <v>478</v>
      </c>
      <c r="C386" t="s">
        <v>479</v>
      </c>
      <c r="D386" s="8">
        <v>12436421</v>
      </c>
      <c r="E386" t="s">
        <v>6</v>
      </c>
      <c r="F386" t="s">
        <v>67</v>
      </c>
      <c r="G386" t="s">
        <v>68</v>
      </c>
      <c r="H386">
        <v>8</v>
      </c>
      <c r="I386">
        <v>85.97</v>
      </c>
      <c r="J386" t="s">
        <v>91</v>
      </c>
      <c r="K386" t="s">
        <v>70</v>
      </c>
      <c r="L386" t="s">
        <v>71</v>
      </c>
      <c r="M386" t="s">
        <v>72</v>
      </c>
      <c r="N386">
        <v>0.04</v>
      </c>
      <c r="O386">
        <v>4.0000000000000036E-2</v>
      </c>
      <c r="P386">
        <v>8</v>
      </c>
      <c r="Q386">
        <v>0</v>
      </c>
    </row>
    <row r="387" spans="1:17" x14ac:dyDescent="0.2">
      <c r="A387" t="s">
        <v>480</v>
      </c>
      <c r="B387" t="s">
        <v>481</v>
      </c>
      <c r="C387" t="s">
        <v>482</v>
      </c>
      <c r="D387" s="8">
        <v>12436421</v>
      </c>
      <c r="E387" t="s">
        <v>6</v>
      </c>
      <c r="F387" t="s">
        <v>67</v>
      </c>
      <c r="G387" t="s">
        <v>68</v>
      </c>
      <c r="H387">
        <v>8</v>
      </c>
      <c r="I387">
        <v>85.97</v>
      </c>
      <c r="J387" t="s">
        <v>91</v>
      </c>
      <c r="K387" t="s">
        <v>70</v>
      </c>
      <c r="L387" t="s">
        <v>71</v>
      </c>
      <c r="M387" t="s">
        <v>72</v>
      </c>
      <c r="N387">
        <v>0.04</v>
      </c>
      <c r="O387">
        <v>4.0000000000000036E-2</v>
      </c>
      <c r="P387">
        <v>8</v>
      </c>
      <c r="Q387">
        <v>0</v>
      </c>
    </row>
    <row r="388" spans="1:17" x14ac:dyDescent="0.2">
      <c r="A388" t="s">
        <v>483</v>
      </c>
      <c r="B388" t="s">
        <v>484</v>
      </c>
      <c r="C388" t="s">
        <v>485</v>
      </c>
      <c r="D388" s="8">
        <v>12436421</v>
      </c>
      <c r="E388" t="s">
        <v>6</v>
      </c>
      <c r="F388" t="s">
        <v>67</v>
      </c>
      <c r="G388" t="s">
        <v>68</v>
      </c>
      <c r="H388">
        <v>8</v>
      </c>
      <c r="I388">
        <v>85.97</v>
      </c>
      <c r="J388" t="s">
        <v>91</v>
      </c>
      <c r="K388" t="s">
        <v>70</v>
      </c>
      <c r="L388" t="s">
        <v>71</v>
      </c>
      <c r="M388" t="s">
        <v>72</v>
      </c>
      <c r="N388">
        <v>0.04</v>
      </c>
      <c r="O388">
        <v>4.0000000000000036E-2</v>
      </c>
      <c r="P388">
        <v>8</v>
      </c>
      <c r="Q388">
        <v>0</v>
      </c>
    </row>
    <row r="389" spans="1:17" x14ac:dyDescent="0.2">
      <c r="A389" t="s">
        <v>486</v>
      </c>
      <c r="B389" t="s">
        <v>487</v>
      </c>
      <c r="C389" t="s">
        <v>488</v>
      </c>
      <c r="D389" s="8">
        <v>12436421</v>
      </c>
      <c r="E389" t="s">
        <v>6</v>
      </c>
      <c r="F389" t="s">
        <v>67</v>
      </c>
      <c r="G389" t="s">
        <v>68</v>
      </c>
      <c r="H389">
        <v>8</v>
      </c>
      <c r="I389">
        <v>85.97</v>
      </c>
      <c r="J389" t="s">
        <v>91</v>
      </c>
      <c r="K389" t="s">
        <v>70</v>
      </c>
      <c r="L389" t="s">
        <v>71</v>
      </c>
      <c r="M389" t="s">
        <v>72</v>
      </c>
      <c r="N389">
        <v>0.04</v>
      </c>
      <c r="O389">
        <v>4.0000000000000036E-2</v>
      </c>
      <c r="P389">
        <v>8</v>
      </c>
      <c r="Q389">
        <v>0</v>
      </c>
    </row>
    <row r="390" spans="1:17" x14ac:dyDescent="0.2">
      <c r="A390" t="s">
        <v>489</v>
      </c>
      <c r="B390" t="s">
        <v>490</v>
      </c>
      <c r="C390" t="s">
        <v>491</v>
      </c>
      <c r="D390" s="8">
        <v>12436421</v>
      </c>
      <c r="E390" t="s">
        <v>6</v>
      </c>
      <c r="F390" t="s">
        <v>67</v>
      </c>
      <c r="G390" t="s">
        <v>68</v>
      </c>
      <c r="H390">
        <v>8</v>
      </c>
      <c r="I390">
        <v>85.97</v>
      </c>
      <c r="J390" t="s">
        <v>91</v>
      </c>
      <c r="K390" t="s">
        <v>70</v>
      </c>
      <c r="L390" t="s">
        <v>71</v>
      </c>
      <c r="M390" t="s">
        <v>72</v>
      </c>
      <c r="N390">
        <v>0.04</v>
      </c>
      <c r="O390">
        <v>4.0000000000000036E-2</v>
      </c>
      <c r="P390">
        <v>8</v>
      </c>
      <c r="Q390">
        <v>0</v>
      </c>
    </row>
    <row r="391" spans="1:17" x14ac:dyDescent="0.2">
      <c r="A391" t="s">
        <v>492</v>
      </c>
      <c r="B391" t="s">
        <v>493</v>
      </c>
      <c r="C391" t="s">
        <v>494</v>
      </c>
      <c r="D391" s="8">
        <v>12436421</v>
      </c>
      <c r="E391" t="s">
        <v>6</v>
      </c>
      <c r="F391" t="s">
        <v>67</v>
      </c>
      <c r="G391" t="s">
        <v>68</v>
      </c>
      <c r="H391">
        <v>8</v>
      </c>
      <c r="I391">
        <v>85.97</v>
      </c>
      <c r="J391" t="s">
        <v>91</v>
      </c>
      <c r="K391" t="s">
        <v>70</v>
      </c>
      <c r="L391" t="s">
        <v>71</v>
      </c>
      <c r="M391" t="s">
        <v>72</v>
      </c>
      <c r="N391">
        <v>0.04</v>
      </c>
      <c r="O391">
        <v>4.0000000000000036E-2</v>
      </c>
      <c r="P391">
        <v>8</v>
      </c>
      <c r="Q391">
        <v>0</v>
      </c>
    </row>
    <row r="392" spans="1:17" x14ac:dyDescent="0.2">
      <c r="A392" t="s">
        <v>495</v>
      </c>
      <c r="B392" t="s">
        <v>496</v>
      </c>
      <c r="C392" t="s">
        <v>497</v>
      </c>
      <c r="D392" s="8">
        <v>12436421</v>
      </c>
      <c r="E392" t="s">
        <v>6</v>
      </c>
      <c r="F392" t="s">
        <v>67</v>
      </c>
      <c r="G392" t="s">
        <v>68</v>
      </c>
      <c r="H392">
        <v>384</v>
      </c>
      <c r="I392">
        <v>4126.62</v>
      </c>
      <c r="J392" t="s">
        <v>91</v>
      </c>
      <c r="K392" t="s">
        <v>70</v>
      </c>
      <c r="L392" t="s">
        <v>71</v>
      </c>
      <c r="M392" t="s">
        <v>72</v>
      </c>
      <c r="N392">
        <v>2</v>
      </c>
      <c r="O392">
        <v>0</v>
      </c>
      <c r="P392">
        <v>0</v>
      </c>
      <c r="Q392">
        <v>2</v>
      </c>
    </row>
    <row r="393" spans="1:17" x14ac:dyDescent="0.2">
      <c r="A393" t="s">
        <v>498</v>
      </c>
      <c r="B393" t="s">
        <v>499</v>
      </c>
      <c r="C393" t="s">
        <v>500</v>
      </c>
      <c r="D393" s="8">
        <v>12436421</v>
      </c>
      <c r="E393" t="s">
        <v>6</v>
      </c>
      <c r="F393" t="s">
        <v>67</v>
      </c>
      <c r="G393" t="s">
        <v>68</v>
      </c>
      <c r="H393">
        <v>8</v>
      </c>
      <c r="I393">
        <v>85.97</v>
      </c>
      <c r="J393" t="s">
        <v>91</v>
      </c>
      <c r="K393" t="s">
        <v>70</v>
      </c>
      <c r="L393" t="s">
        <v>71</v>
      </c>
      <c r="M393" t="s">
        <v>72</v>
      </c>
      <c r="N393">
        <v>0.04</v>
      </c>
      <c r="O393">
        <v>4.0000000000000036E-2</v>
      </c>
      <c r="P393">
        <v>8</v>
      </c>
      <c r="Q393">
        <v>0</v>
      </c>
    </row>
    <row r="394" spans="1:17" x14ac:dyDescent="0.2">
      <c r="A394" t="s">
        <v>501</v>
      </c>
      <c r="B394" t="s">
        <v>502</v>
      </c>
      <c r="C394" t="s">
        <v>503</v>
      </c>
      <c r="D394" s="8">
        <v>43564</v>
      </c>
      <c r="E394" t="s">
        <v>97</v>
      </c>
      <c r="F394" t="s">
        <v>67</v>
      </c>
      <c r="G394" t="s">
        <v>68</v>
      </c>
      <c r="H394">
        <v>5</v>
      </c>
      <c r="I394">
        <v>336.34</v>
      </c>
      <c r="J394" t="s">
        <v>91</v>
      </c>
      <c r="K394" t="s">
        <v>70</v>
      </c>
      <c r="L394" t="s">
        <v>71</v>
      </c>
      <c r="M394" t="s">
        <v>72</v>
      </c>
      <c r="N394">
        <v>5</v>
      </c>
      <c r="O394">
        <v>0</v>
      </c>
      <c r="P394">
        <v>0</v>
      </c>
      <c r="Q394">
        <v>5</v>
      </c>
    </row>
    <row r="395" spans="1:17" x14ac:dyDescent="0.2">
      <c r="A395" t="s">
        <v>501</v>
      </c>
      <c r="B395" t="s">
        <v>502</v>
      </c>
      <c r="C395" t="s">
        <v>503</v>
      </c>
      <c r="D395" s="8">
        <v>12575065</v>
      </c>
      <c r="E395" t="s">
        <v>127</v>
      </c>
      <c r="F395" t="s">
        <v>67</v>
      </c>
      <c r="G395" t="s">
        <v>68</v>
      </c>
      <c r="H395">
        <v>3</v>
      </c>
      <c r="I395">
        <v>775.45</v>
      </c>
      <c r="J395" t="s">
        <v>91</v>
      </c>
      <c r="K395" t="s">
        <v>70</v>
      </c>
      <c r="L395" t="s">
        <v>71</v>
      </c>
      <c r="M395" t="s">
        <v>72</v>
      </c>
      <c r="N395">
        <v>0.17</v>
      </c>
      <c r="O395">
        <v>0.16999999999999993</v>
      </c>
      <c r="P395">
        <v>3</v>
      </c>
      <c r="Q395">
        <v>0</v>
      </c>
    </row>
    <row r="396" spans="1:17" x14ac:dyDescent="0.2">
      <c r="A396" t="s">
        <v>501</v>
      </c>
      <c r="B396" t="s">
        <v>502</v>
      </c>
      <c r="C396" t="s">
        <v>503</v>
      </c>
      <c r="D396" s="8">
        <v>12589940</v>
      </c>
      <c r="E396" t="s">
        <v>81</v>
      </c>
      <c r="F396" t="s">
        <v>67</v>
      </c>
      <c r="G396" t="s">
        <v>68</v>
      </c>
      <c r="H396">
        <v>3</v>
      </c>
      <c r="I396">
        <v>548.29999999999995</v>
      </c>
      <c r="J396" t="s">
        <v>91</v>
      </c>
      <c r="K396" t="s">
        <v>70</v>
      </c>
      <c r="L396" t="s">
        <v>71</v>
      </c>
      <c r="M396" t="s">
        <v>72</v>
      </c>
      <c r="N396">
        <v>0.17</v>
      </c>
      <c r="O396">
        <v>0.16999999999999993</v>
      </c>
      <c r="P396">
        <v>3</v>
      </c>
      <c r="Q396">
        <v>0</v>
      </c>
    </row>
    <row r="397" spans="1:17" x14ac:dyDescent="0.2">
      <c r="A397" t="s">
        <v>501</v>
      </c>
      <c r="B397" t="s">
        <v>502</v>
      </c>
      <c r="C397" t="s">
        <v>503</v>
      </c>
      <c r="D397" s="8">
        <v>12436421</v>
      </c>
      <c r="E397" t="s">
        <v>6</v>
      </c>
      <c r="F397" t="s">
        <v>67</v>
      </c>
      <c r="G397" t="s">
        <v>68</v>
      </c>
      <c r="H397">
        <v>192</v>
      </c>
      <c r="I397">
        <v>2063.31</v>
      </c>
      <c r="J397" t="s">
        <v>91</v>
      </c>
      <c r="K397" t="s">
        <v>70</v>
      </c>
      <c r="L397" t="s">
        <v>71</v>
      </c>
      <c r="M397" t="s">
        <v>72</v>
      </c>
      <c r="N397">
        <v>1</v>
      </c>
      <c r="O397">
        <v>0</v>
      </c>
      <c r="P397">
        <v>0</v>
      </c>
      <c r="Q397">
        <v>1</v>
      </c>
    </row>
    <row r="398" spans="1:17" x14ac:dyDescent="0.2">
      <c r="A398" t="s">
        <v>504</v>
      </c>
      <c r="B398" t="s">
        <v>502</v>
      </c>
      <c r="C398" t="s">
        <v>503</v>
      </c>
      <c r="D398" s="8">
        <v>12436421</v>
      </c>
      <c r="E398" t="s">
        <v>6</v>
      </c>
      <c r="F398" t="s">
        <v>67</v>
      </c>
      <c r="G398" t="s">
        <v>68</v>
      </c>
      <c r="H398">
        <v>8</v>
      </c>
      <c r="I398">
        <v>85.97</v>
      </c>
      <c r="J398" t="s">
        <v>91</v>
      </c>
      <c r="K398" t="s">
        <v>70</v>
      </c>
      <c r="L398" t="s">
        <v>71</v>
      </c>
      <c r="M398" t="s">
        <v>72</v>
      </c>
      <c r="N398">
        <v>0.04</v>
      </c>
      <c r="O398">
        <v>4.0000000000000036E-2</v>
      </c>
      <c r="P398">
        <v>8</v>
      </c>
      <c r="Q398">
        <v>0</v>
      </c>
    </row>
    <row r="399" spans="1:17" x14ac:dyDescent="0.2">
      <c r="A399" t="s">
        <v>505</v>
      </c>
      <c r="B399" t="s">
        <v>506</v>
      </c>
      <c r="C399" t="s">
        <v>507</v>
      </c>
      <c r="D399" s="8">
        <v>12436421</v>
      </c>
      <c r="E399" t="s">
        <v>6</v>
      </c>
      <c r="F399" t="s">
        <v>67</v>
      </c>
      <c r="G399" t="s">
        <v>68</v>
      </c>
      <c r="H399">
        <v>8</v>
      </c>
      <c r="I399">
        <v>85.97</v>
      </c>
      <c r="J399" t="s">
        <v>91</v>
      </c>
      <c r="K399" t="s">
        <v>70</v>
      </c>
      <c r="L399" t="s">
        <v>71</v>
      </c>
      <c r="M399" t="s">
        <v>72</v>
      </c>
      <c r="N399">
        <v>0.04</v>
      </c>
      <c r="O399">
        <v>4.0000000000000036E-2</v>
      </c>
      <c r="P399">
        <v>8</v>
      </c>
      <c r="Q399">
        <v>0</v>
      </c>
    </row>
    <row r="400" spans="1:17" x14ac:dyDescent="0.2">
      <c r="A400" t="s">
        <v>508</v>
      </c>
      <c r="B400" t="s">
        <v>509</v>
      </c>
      <c r="C400" t="s">
        <v>510</v>
      </c>
      <c r="D400" s="8">
        <v>12436421</v>
      </c>
      <c r="E400" t="s">
        <v>6</v>
      </c>
      <c r="F400" t="s">
        <v>67</v>
      </c>
      <c r="G400" t="s">
        <v>68</v>
      </c>
      <c r="H400">
        <v>8</v>
      </c>
      <c r="I400">
        <v>85.97</v>
      </c>
      <c r="J400" t="s">
        <v>91</v>
      </c>
      <c r="K400" t="s">
        <v>70</v>
      </c>
      <c r="L400" t="s">
        <v>71</v>
      </c>
      <c r="M400" t="s">
        <v>72</v>
      </c>
      <c r="N400">
        <v>0.04</v>
      </c>
      <c r="O400">
        <v>4.0000000000000036E-2</v>
      </c>
      <c r="P400">
        <v>8</v>
      </c>
      <c r="Q400">
        <v>0</v>
      </c>
    </row>
    <row r="401" spans="1:17" x14ac:dyDescent="0.2">
      <c r="A401" t="s">
        <v>511</v>
      </c>
      <c r="B401" t="s">
        <v>512</v>
      </c>
      <c r="C401" t="s">
        <v>513</v>
      </c>
      <c r="D401" s="8">
        <v>12436421</v>
      </c>
      <c r="E401" t="s">
        <v>6</v>
      </c>
      <c r="F401" t="s">
        <v>67</v>
      </c>
      <c r="G401" t="s">
        <v>68</v>
      </c>
      <c r="H401">
        <v>24</v>
      </c>
      <c r="I401">
        <v>257.91000000000003</v>
      </c>
      <c r="J401" t="s">
        <v>78</v>
      </c>
      <c r="K401" t="s">
        <v>70</v>
      </c>
      <c r="L401" t="s">
        <v>71</v>
      </c>
      <c r="M401" t="s">
        <v>72</v>
      </c>
      <c r="N401">
        <v>0.13</v>
      </c>
      <c r="O401">
        <v>0.12999999999999989</v>
      </c>
      <c r="P401">
        <v>24</v>
      </c>
      <c r="Q401">
        <v>0</v>
      </c>
    </row>
    <row r="402" spans="1:17" x14ac:dyDescent="0.2">
      <c r="A402" t="s">
        <v>514</v>
      </c>
      <c r="B402" t="s">
        <v>515</v>
      </c>
      <c r="C402" t="s">
        <v>516</v>
      </c>
      <c r="D402" s="8">
        <v>12436421</v>
      </c>
      <c r="E402" t="s">
        <v>6</v>
      </c>
      <c r="F402" t="s">
        <v>67</v>
      </c>
      <c r="G402" t="s">
        <v>68</v>
      </c>
      <c r="H402">
        <v>8</v>
      </c>
      <c r="I402">
        <v>85.97</v>
      </c>
      <c r="J402" t="s">
        <v>91</v>
      </c>
      <c r="K402" t="s">
        <v>70</v>
      </c>
      <c r="L402" t="s">
        <v>71</v>
      </c>
      <c r="M402" t="s">
        <v>72</v>
      </c>
      <c r="N402">
        <v>0.04</v>
      </c>
      <c r="O402">
        <v>4.0000000000000036E-2</v>
      </c>
      <c r="P402">
        <v>8</v>
      </c>
      <c r="Q402">
        <v>0</v>
      </c>
    </row>
    <row r="403" spans="1:17" x14ac:dyDescent="0.2">
      <c r="A403" t="s">
        <v>517</v>
      </c>
      <c r="B403" t="s">
        <v>518</v>
      </c>
      <c r="C403" t="s">
        <v>519</v>
      </c>
      <c r="D403" s="8">
        <v>12575127</v>
      </c>
      <c r="E403" t="s">
        <v>13</v>
      </c>
      <c r="F403" t="s">
        <v>67</v>
      </c>
      <c r="G403" t="s">
        <v>68</v>
      </c>
      <c r="H403">
        <v>24</v>
      </c>
      <c r="I403">
        <v>207.94</v>
      </c>
      <c r="J403" t="s">
        <v>78</v>
      </c>
      <c r="K403" t="s">
        <v>70</v>
      </c>
      <c r="L403" t="s">
        <v>71</v>
      </c>
      <c r="M403" t="s">
        <v>72</v>
      </c>
      <c r="N403">
        <v>0.05</v>
      </c>
      <c r="O403">
        <v>5.0000000000000044E-2</v>
      </c>
      <c r="P403">
        <v>24</v>
      </c>
      <c r="Q403">
        <v>0</v>
      </c>
    </row>
    <row r="404" spans="1:17" x14ac:dyDescent="0.2">
      <c r="A404" t="s">
        <v>520</v>
      </c>
      <c r="B404" t="s">
        <v>521</v>
      </c>
      <c r="C404" t="s">
        <v>522</v>
      </c>
      <c r="D404" s="8">
        <v>12436421</v>
      </c>
      <c r="E404" t="s">
        <v>6</v>
      </c>
      <c r="F404" t="s">
        <v>67</v>
      </c>
      <c r="G404" t="s">
        <v>68</v>
      </c>
      <c r="H404">
        <v>24</v>
      </c>
      <c r="I404">
        <v>257.91000000000003</v>
      </c>
      <c r="J404" t="s">
        <v>78</v>
      </c>
      <c r="K404" t="s">
        <v>70</v>
      </c>
      <c r="L404" t="s">
        <v>71</v>
      </c>
      <c r="M404" t="s">
        <v>72</v>
      </c>
      <c r="N404">
        <v>0.13</v>
      </c>
      <c r="O404">
        <v>0.12999999999999989</v>
      </c>
      <c r="P404">
        <v>24</v>
      </c>
      <c r="Q404">
        <v>0</v>
      </c>
    </row>
    <row r="405" spans="1:17" x14ac:dyDescent="0.2">
      <c r="A405" t="s">
        <v>523</v>
      </c>
      <c r="B405" t="s">
        <v>524</v>
      </c>
      <c r="C405" t="s">
        <v>525</v>
      </c>
      <c r="D405" s="8">
        <v>12613402</v>
      </c>
      <c r="E405" t="s">
        <v>73</v>
      </c>
      <c r="F405" t="s">
        <v>67</v>
      </c>
      <c r="G405" t="s">
        <v>68</v>
      </c>
      <c r="H405">
        <v>48</v>
      </c>
      <c r="I405">
        <v>146.63</v>
      </c>
      <c r="J405" t="s">
        <v>78</v>
      </c>
      <c r="K405" t="s">
        <v>70</v>
      </c>
      <c r="L405" t="s">
        <v>71</v>
      </c>
      <c r="M405" t="s">
        <v>72</v>
      </c>
      <c r="N405">
        <v>0.05</v>
      </c>
      <c r="O405">
        <v>5.0000000000000044E-2</v>
      </c>
      <c r="P405">
        <v>48</v>
      </c>
      <c r="Q405">
        <v>0</v>
      </c>
    </row>
    <row r="406" spans="1:17" x14ac:dyDescent="0.2">
      <c r="A406" t="s">
        <v>523</v>
      </c>
      <c r="B406" t="s">
        <v>524</v>
      </c>
      <c r="C406" t="s">
        <v>525</v>
      </c>
      <c r="D406" s="8">
        <v>12604416</v>
      </c>
      <c r="E406" t="s">
        <v>146</v>
      </c>
      <c r="F406" t="s">
        <v>67</v>
      </c>
      <c r="G406" t="s">
        <v>68</v>
      </c>
      <c r="H406">
        <v>10</v>
      </c>
      <c r="I406">
        <v>74.45</v>
      </c>
      <c r="J406" t="s">
        <v>78</v>
      </c>
      <c r="K406" t="s">
        <v>70</v>
      </c>
      <c r="L406" t="s">
        <v>71</v>
      </c>
      <c r="M406" t="s">
        <v>72</v>
      </c>
      <c r="N406">
        <v>0.02</v>
      </c>
      <c r="O406">
        <v>2.0000000000000018E-2</v>
      </c>
      <c r="P406">
        <v>10</v>
      </c>
      <c r="Q406">
        <v>0</v>
      </c>
    </row>
    <row r="407" spans="1:17" x14ac:dyDescent="0.2">
      <c r="A407" t="s">
        <v>526</v>
      </c>
      <c r="B407" t="s">
        <v>527</v>
      </c>
      <c r="C407" t="s">
        <v>393</v>
      </c>
      <c r="D407" s="8">
        <v>12436421</v>
      </c>
      <c r="E407" t="s">
        <v>6</v>
      </c>
      <c r="F407" t="s">
        <v>67</v>
      </c>
      <c r="G407" t="s">
        <v>68</v>
      </c>
      <c r="H407">
        <v>8</v>
      </c>
      <c r="I407">
        <v>85.97</v>
      </c>
      <c r="J407" t="s">
        <v>91</v>
      </c>
      <c r="K407" t="s">
        <v>70</v>
      </c>
      <c r="L407" t="s">
        <v>71</v>
      </c>
      <c r="M407" t="s">
        <v>72</v>
      </c>
      <c r="N407">
        <v>0.04</v>
      </c>
      <c r="O407">
        <v>4.0000000000000036E-2</v>
      </c>
      <c r="P407">
        <v>8</v>
      </c>
      <c r="Q407">
        <v>0</v>
      </c>
    </row>
    <row r="408" spans="1:17" x14ac:dyDescent="0.2">
      <c r="A408" t="s">
        <v>528</v>
      </c>
      <c r="B408" t="s">
        <v>529</v>
      </c>
      <c r="C408" t="s">
        <v>530</v>
      </c>
      <c r="D408" s="8">
        <v>12613402</v>
      </c>
      <c r="E408" t="s">
        <v>73</v>
      </c>
      <c r="F408" t="s">
        <v>67</v>
      </c>
      <c r="G408" t="s">
        <v>68</v>
      </c>
      <c r="H408">
        <v>12</v>
      </c>
      <c r="I408">
        <v>36.659999999999997</v>
      </c>
      <c r="J408" t="s">
        <v>91</v>
      </c>
      <c r="K408" t="s">
        <v>70</v>
      </c>
      <c r="L408" t="s">
        <v>71</v>
      </c>
      <c r="M408" t="s">
        <v>72</v>
      </c>
      <c r="N408">
        <v>0.01</v>
      </c>
      <c r="O408">
        <v>1.0000000000000009E-2</v>
      </c>
      <c r="P408">
        <v>12</v>
      </c>
      <c r="Q408">
        <v>0</v>
      </c>
    </row>
    <row r="409" spans="1:17" x14ac:dyDescent="0.2">
      <c r="A409" t="s">
        <v>528</v>
      </c>
      <c r="B409" t="s">
        <v>529</v>
      </c>
      <c r="C409" t="s">
        <v>530</v>
      </c>
      <c r="D409" s="8">
        <v>12436421</v>
      </c>
      <c r="E409" t="s">
        <v>6</v>
      </c>
      <c r="F409" t="s">
        <v>67</v>
      </c>
      <c r="G409" t="s">
        <v>68</v>
      </c>
      <c r="H409">
        <v>8</v>
      </c>
      <c r="I409">
        <v>85.97</v>
      </c>
      <c r="J409" t="s">
        <v>91</v>
      </c>
      <c r="K409" t="s">
        <v>70</v>
      </c>
      <c r="L409" t="s">
        <v>71</v>
      </c>
      <c r="M409" t="s">
        <v>72</v>
      </c>
      <c r="N409">
        <v>0.04</v>
      </c>
      <c r="O409">
        <v>4.0000000000000036E-2</v>
      </c>
      <c r="P409">
        <v>8</v>
      </c>
      <c r="Q409">
        <v>0</v>
      </c>
    </row>
    <row r="410" spans="1:17" x14ac:dyDescent="0.2">
      <c r="A410" t="s">
        <v>528</v>
      </c>
      <c r="B410" t="s">
        <v>529</v>
      </c>
      <c r="C410" t="s">
        <v>530</v>
      </c>
      <c r="D410" s="8">
        <v>12604368</v>
      </c>
      <c r="E410" t="s">
        <v>74</v>
      </c>
      <c r="F410" t="s">
        <v>67</v>
      </c>
      <c r="G410" t="s">
        <v>68</v>
      </c>
      <c r="H410">
        <v>10</v>
      </c>
      <c r="I410">
        <v>134.53</v>
      </c>
      <c r="J410" t="s">
        <v>91</v>
      </c>
      <c r="K410" t="s">
        <v>70</v>
      </c>
      <c r="L410" t="s">
        <v>71</v>
      </c>
      <c r="M410" t="s">
        <v>72</v>
      </c>
      <c r="N410">
        <v>0.05</v>
      </c>
      <c r="O410">
        <v>5.0000000000000044E-2</v>
      </c>
      <c r="P410">
        <v>10</v>
      </c>
      <c r="Q410">
        <v>0</v>
      </c>
    </row>
    <row r="411" spans="1:17" x14ac:dyDescent="0.2">
      <c r="A411" t="s">
        <v>528</v>
      </c>
      <c r="B411" t="s">
        <v>529</v>
      </c>
      <c r="C411" t="s">
        <v>530</v>
      </c>
      <c r="D411" s="8">
        <v>12604377</v>
      </c>
      <c r="E411" t="s">
        <v>93</v>
      </c>
      <c r="F411" t="s">
        <v>67</v>
      </c>
      <c r="G411" t="s">
        <v>68</v>
      </c>
      <c r="H411">
        <v>10</v>
      </c>
      <c r="I411">
        <v>134.53</v>
      </c>
      <c r="J411" t="s">
        <v>91</v>
      </c>
      <c r="K411" t="s">
        <v>70</v>
      </c>
      <c r="L411" t="s">
        <v>71</v>
      </c>
      <c r="M411" t="s">
        <v>72</v>
      </c>
      <c r="N411">
        <v>0.05</v>
      </c>
      <c r="O411">
        <v>5.0000000000000044E-2</v>
      </c>
      <c r="P411">
        <v>10</v>
      </c>
      <c r="Q411">
        <v>0</v>
      </c>
    </row>
    <row r="412" spans="1:17" x14ac:dyDescent="0.2">
      <c r="A412" t="s">
        <v>528</v>
      </c>
      <c r="B412" t="s">
        <v>529</v>
      </c>
      <c r="C412" t="s">
        <v>530</v>
      </c>
      <c r="D412" s="8">
        <v>12560070</v>
      </c>
      <c r="E412" t="s">
        <v>15</v>
      </c>
      <c r="F412" t="s">
        <v>67</v>
      </c>
      <c r="G412" t="s">
        <v>68</v>
      </c>
      <c r="H412">
        <v>16</v>
      </c>
      <c r="I412">
        <v>76.56</v>
      </c>
      <c r="J412" t="s">
        <v>91</v>
      </c>
      <c r="K412" t="s">
        <v>70</v>
      </c>
      <c r="L412" t="s">
        <v>71</v>
      </c>
      <c r="M412" t="s">
        <v>72</v>
      </c>
      <c r="N412">
        <v>0.02</v>
      </c>
      <c r="O412">
        <v>2.0000000000000018E-2</v>
      </c>
      <c r="P412">
        <v>16</v>
      </c>
      <c r="Q412">
        <v>0</v>
      </c>
    </row>
    <row r="413" spans="1:17" x14ac:dyDescent="0.2">
      <c r="A413" t="s">
        <v>531</v>
      </c>
      <c r="B413" t="s">
        <v>532</v>
      </c>
      <c r="C413" t="s">
        <v>533</v>
      </c>
      <c r="D413" s="8">
        <v>12436421</v>
      </c>
      <c r="E413" t="s">
        <v>6</v>
      </c>
      <c r="F413" t="s">
        <v>67</v>
      </c>
      <c r="G413" t="s">
        <v>68</v>
      </c>
      <c r="H413">
        <v>8</v>
      </c>
      <c r="I413">
        <v>85.97</v>
      </c>
      <c r="J413" t="s">
        <v>91</v>
      </c>
      <c r="K413" t="s">
        <v>70</v>
      </c>
      <c r="L413" t="s">
        <v>71</v>
      </c>
      <c r="M413" t="s">
        <v>72</v>
      </c>
      <c r="N413">
        <v>0.04</v>
      </c>
      <c r="O413">
        <v>4.0000000000000036E-2</v>
      </c>
      <c r="P413">
        <v>8</v>
      </c>
      <c r="Q413">
        <v>0</v>
      </c>
    </row>
    <row r="414" spans="1:17" x14ac:dyDescent="0.2">
      <c r="A414" t="s">
        <v>534</v>
      </c>
      <c r="B414" t="s">
        <v>535</v>
      </c>
      <c r="C414" t="s">
        <v>536</v>
      </c>
      <c r="D414" s="8">
        <v>12436421</v>
      </c>
      <c r="E414" t="s">
        <v>6</v>
      </c>
      <c r="F414" t="s">
        <v>67</v>
      </c>
      <c r="G414" t="s">
        <v>68</v>
      </c>
      <c r="H414">
        <v>8</v>
      </c>
      <c r="I414">
        <v>85.97</v>
      </c>
      <c r="J414" t="s">
        <v>91</v>
      </c>
      <c r="K414" t="s">
        <v>70</v>
      </c>
      <c r="L414" t="s">
        <v>71</v>
      </c>
      <c r="M414" t="s">
        <v>72</v>
      </c>
      <c r="N414">
        <v>0.04</v>
      </c>
      <c r="O414">
        <v>4.0000000000000036E-2</v>
      </c>
      <c r="P414">
        <v>8</v>
      </c>
      <c r="Q414">
        <v>0</v>
      </c>
    </row>
    <row r="415" spans="1:17" x14ac:dyDescent="0.2">
      <c r="A415" t="s">
        <v>537</v>
      </c>
      <c r="B415" t="s">
        <v>538</v>
      </c>
      <c r="C415" t="s">
        <v>539</v>
      </c>
      <c r="D415" s="8">
        <v>12436421</v>
      </c>
      <c r="E415" t="s">
        <v>6</v>
      </c>
      <c r="F415" t="s">
        <v>67</v>
      </c>
      <c r="G415" t="s">
        <v>68</v>
      </c>
      <c r="H415">
        <v>8</v>
      </c>
      <c r="I415">
        <v>85.97</v>
      </c>
      <c r="J415" t="s">
        <v>91</v>
      </c>
      <c r="K415" t="s">
        <v>70</v>
      </c>
      <c r="L415" t="s">
        <v>71</v>
      </c>
      <c r="M415" t="s">
        <v>72</v>
      </c>
      <c r="N415">
        <v>0.04</v>
      </c>
      <c r="O415">
        <v>4.0000000000000036E-2</v>
      </c>
      <c r="P415">
        <v>8</v>
      </c>
      <c r="Q415">
        <v>0</v>
      </c>
    </row>
    <row r="416" spans="1:17" x14ac:dyDescent="0.2">
      <c r="A416" t="s">
        <v>540</v>
      </c>
      <c r="B416" t="s">
        <v>541</v>
      </c>
      <c r="C416" t="s">
        <v>542</v>
      </c>
      <c r="D416" s="8">
        <v>12575127</v>
      </c>
      <c r="E416" t="s">
        <v>13</v>
      </c>
      <c r="F416" t="s">
        <v>67</v>
      </c>
      <c r="G416" t="s">
        <v>68</v>
      </c>
      <c r="H416">
        <v>36</v>
      </c>
      <c r="I416">
        <v>311.91000000000003</v>
      </c>
      <c r="J416" t="s">
        <v>91</v>
      </c>
      <c r="K416" t="s">
        <v>70</v>
      </c>
      <c r="L416" t="s">
        <v>71</v>
      </c>
      <c r="M416" t="s">
        <v>72</v>
      </c>
      <c r="N416">
        <v>7.0000000000000007E-2</v>
      </c>
      <c r="O416">
        <v>7.0000000000000062E-2</v>
      </c>
      <c r="P416">
        <v>36</v>
      </c>
      <c r="Q416">
        <v>0</v>
      </c>
    </row>
    <row r="417" spans="1:17" x14ac:dyDescent="0.2">
      <c r="A417" t="s">
        <v>543</v>
      </c>
      <c r="B417" t="s">
        <v>544</v>
      </c>
      <c r="C417" t="s">
        <v>545</v>
      </c>
      <c r="D417" s="8">
        <v>12575127</v>
      </c>
      <c r="E417" t="s">
        <v>13</v>
      </c>
      <c r="F417" t="s">
        <v>67</v>
      </c>
      <c r="G417" t="s">
        <v>68</v>
      </c>
      <c r="H417">
        <v>60</v>
      </c>
      <c r="I417">
        <v>519.85</v>
      </c>
      <c r="J417" t="s">
        <v>91</v>
      </c>
      <c r="K417" t="s">
        <v>70</v>
      </c>
      <c r="L417" t="s">
        <v>71</v>
      </c>
      <c r="M417" t="s">
        <v>72</v>
      </c>
      <c r="N417">
        <v>0.12</v>
      </c>
      <c r="O417">
        <v>0.12000000000000011</v>
      </c>
      <c r="P417">
        <v>60</v>
      </c>
      <c r="Q417">
        <v>0</v>
      </c>
    </row>
    <row r="418" spans="1:17" x14ac:dyDescent="0.2">
      <c r="A418" t="s">
        <v>546</v>
      </c>
      <c r="B418" t="s">
        <v>547</v>
      </c>
      <c r="C418" t="s">
        <v>548</v>
      </c>
      <c r="D418" s="8">
        <v>12575127</v>
      </c>
      <c r="E418" t="s">
        <v>13</v>
      </c>
      <c r="F418" t="s">
        <v>67</v>
      </c>
      <c r="G418" t="s">
        <v>68</v>
      </c>
      <c r="H418">
        <v>36</v>
      </c>
      <c r="I418">
        <v>311.91000000000003</v>
      </c>
      <c r="J418" t="s">
        <v>91</v>
      </c>
      <c r="K418" t="s">
        <v>70</v>
      </c>
      <c r="L418" t="s">
        <v>71</v>
      </c>
      <c r="M418" t="s">
        <v>72</v>
      </c>
      <c r="N418">
        <v>7.0000000000000007E-2</v>
      </c>
      <c r="O418">
        <v>7.0000000000000062E-2</v>
      </c>
      <c r="P418">
        <v>36</v>
      </c>
      <c r="Q418">
        <v>0</v>
      </c>
    </row>
    <row r="419" spans="1:17" x14ac:dyDescent="0.2">
      <c r="A419" t="s">
        <v>549</v>
      </c>
      <c r="B419" t="s">
        <v>550</v>
      </c>
      <c r="C419" t="s">
        <v>551</v>
      </c>
      <c r="D419" s="8">
        <v>12613402</v>
      </c>
      <c r="E419" t="s">
        <v>73</v>
      </c>
      <c r="F419" t="s">
        <v>67</v>
      </c>
      <c r="G419" t="s">
        <v>68</v>
      </c>
      <c r="H419">
        <v>48</v>
      </c>
      <c r="I419">
        <v>146.63</v>
      </c>
      <c r="J419" t="s">
        <v>78</v>
      </c>
      <c r="K419" t="s">
        <v>70</v>
      </c>
      <c r="L419" t="s">
        <v>239</v>
      </c>
      <c r="M419" t="s">
        <v>72</v>
      </c>
      <c r="N419">
        <v>0.05</v>
      </c>
      <c r="O419">
        <v>5.0000000000000044E-2</v>
      </c>
      <c r="P419">
        <v>48</v>
      </c>
      <c r="Q419">
        <v>0</v>
      </c>
    </row>
    <row r="420" spans="1:17" x14ac:dyDescent="0.2">
      <c r="A420" t="s">
        <v>549</v>
      </c>
      <c r="B420" t="s">
        <v>550</v>
      </c>
      <c r="C420" t="s">
        <v>551</v>
      </c>
      <c r="D420" s="8">
        <v>12605994</v>
      </c>
      <c r="E420" t="s">
        <v>85</v>
      </c>
      <c r="F420" t="s">
        <v>67</v>
      </c>
      <c r="G420" t="s">
        <v>68</v>
      </c>
      <c r="H420">
        <v>12</v>
      </c>
      <c r="I420">
        <v>225.01</v>
      </c>
      <c r="J420" t="s">
        <v>78</v>
      </c>
      <c r="K420" t="s">
        <v>70</v>
      </c>
      <c r="L420" t="s">
        <v>239</v>
      </c>
      <c r="M420" t="s">
        <v>72</v>
      </c>
      <c r="N420">
        <v>0.08</v>
      </c>
      <c r="O420">
        <v>8.0000000000000071E-2</v>
      </c>
      <c r="P420">
        <v>12</v>
      </c>
      <c r="Q420">
        <v>0</v>
      </c>
    </row>
    <row r="421" spans="1:17" x14ac:dyDescent="0.2">
      <c r="A421" t="s">
        <v>549</v>
      </c>
      <c r="B421" t="s">
        <v>550</v>
      </c>
      <c r="C421" t="s">
        <v>551</v>
      </c>
      <c r="D421" s="8">
        <v>12436421</v>
      </c>
      <c r="E421" t="s">
        <v>6</v>
      </c>
      <c r="F421" t="s">
        <v>67</v>
      </c>
      <c r="G421" t="s">
        <v>68</v>
      </c>
      <c r="H421">
        <v>24</v>
      </c>
      <c r="I421">
        <v>257.91000000000003</v>
      </c>
      <c r="J421" t="s">
        <v>78</v>
      </c>
      <c r="K421" t="s">
        <v>70</v>
      </c>
      <c r="L421" t="s">
        <v>239</v>
      </c>
      <c r="M421" t="s">
        <v>72</v>
      </c>
      <c r="N421">
        <v>0.13</v>
      </c>
      <c r="O421">
        <v>0.12999999999999989</v>
      </c>
      <c r="P421">
        <v>24</v>
      </c>
      <c r="Q421">
        <v>0</v>
      </c>
    </row>
    <row r="422" spans="1:17" x14ac:dyDescent="0.2">
      <c r="A422" t="s">
        <v>549</v>
      </c>
      <c r="B422" t="s">
        <v>550</v>
      </c>
      <c r="C422" t="s">
        <v>551</v>
      </c>
      <c r="D422" s="8">
        <v>12575127</v>
      </c>
      <c r="E422" t="s">
        <v>13</v>
      </c>
      <c r="F422" t="s">
        <v>67</v>
      </c>
      <c r="G422" t="s">
        <v>68</v>
      </c>
      <c r="H422">
        <v>12</v>
      </c>
      <c r="I422">
        <v>103.97</v>
      </c>
      <c r="J422" t="s">
        <v>78</v>
      </c>
      <c r="K422" t="s">
        <v>70</v>
      </c>
      <c r="L422" t="s">
        <v>239</v>
      </c>
      <c r="M422" t="s">
        <v>72</v>
      </c>
      <c r="N422">
        <v>0.02</v>
      </c>
      <c r="O422">
        <v>2.0000000000000018E-2</v>
      </c>
      <c r="P422">
        <v>12</v>
      </c>
      <c r="Q422">
        <v>0</v>
      </c>
    </row>
    <row r="423" spans="1:17" x14ac:dyDescent="0.2">
      <c r="A423" t="s">
        <v>552</v>
      </c>
      <c r="B423" t="s">
        <v>553</v>
      </c>
      <c r="C423" t="s">
        <v>554</v>
      </c>
      <c r="D423" s="8">
        <v>12613402</v>
      </c>
      <c r="E423" t="s">
        <v>73</v>
      </c>
      <c r="F423" t="s">
        <v>67</v>
      </c>
      <c r="G423" t="s">
        <v>68</v>
      </c>
      <c r="H423">
        <v>6</v>
      </c>
      <c r="I423">
        <v>18.32</v>
      </c>
      <c r="J423" t="s">
        <v>77</v>
      </c>
      <c r="K423" t="s">
        <v>70</v>
      </c>
      <c r="L423" t="s">
        <v>239</v>
      </c>
      <c r="M423" t="s">
        <v>72</v>
      </c>
      <c r="N423">
        <v>0.01</v>
      </c>
      <c r="O423">
        <v>1.0000000000000009E-2</v>
      </c>
      <c r="P423">
        <v>6</v>
      </c>
      <c r="Q423">
        <v>0</v>
      </c>
    </row>
    <row r="424" spans="1:17" x14ac:dyDescent="0.2">
      <c r="A424" t="s">
        <v>552</v>
      </c>
      <c r="B424" t="s">
        <v>553</v>
      </c>
      <c r="C424" t="s">
        <v>554</v>
      </c>
      <c r="D424" s="8">
        <v>12436421</v>
      </c>
      <c r="E424" t="s">
        <v>6</v>
      </c>
      <c r="F424" t="s">
        <v>67</v>
      </c>
      <c r="G424" t="s">
        <v>68</v>
      </c>
      <c r="H424">
        <v>4</v>
      </c>
      <c r="I424">
        <v>42.99</v>
      </c>
      <c r="J424" t="s">
        <v>77</v>
      </c>
      <c r="K424" t="s">
        <v>70</v>
      </c>
      <c r="L424" t="s">
        <v>239</v>
      </c>
      <c r="M424" t="s">
        <v>72</v>
      </c>
      <c r="N424">
        <v>0.02</v>
      </c>
      <c r="O424">
        <v>2.0000000000000018E-2</v>
      </c>
      <c r="P424">
        <v>4</v>
      </c>
      <c r="Q424">
        <v>0</v>
      </c>
    </row>
    <row r="425" spans="1:17" x14ac:dyDescent="0.2">
      <c r="A425" t="s">
        <v>552</v>
      </c>
      <c r="B425" t="s">
        <v>553</v>
      </c>
      <c r="C425" t="s">
        <v>554</v>
      </c>
      <c r="D425" s="8">
        <v>12604377</v>
      </c>
      <c r="E425" t="s">
        <v>93</v>
      </c>
      <c r="F425" t="s">
        <v>67</v>
      </c>
      <c r="G425" t="s">
        <v>68</v>
      </c>
      <c r="H425">
        <v>5</v>
      </c>
      <c r="I425">
        <v>67.27</v>
      </c>
      <c r="J425" t="s">
        <v>77</v>
      </c>
      <c r="K425" t="s">
        <v>70</v>
      </c>
      <c r="L425" t="s">
        <v>239</v>
      </c>
      <c r="M425" t="s">
        <v>72</v>
      </c>
      <c r="N425">
        <v>0.03</v>
      </c>
      <c r="O425">
        <v>3.0000000000000027E-2</v>
      </c>
      <c r="P425">
        <v>5</v>
      </c>
      <c r="Q425">
        <v>0</v>
      </c>
    </row>
    <row r="426" spans="1:17" x14ac:dyDescent="0.2">
      <c r="A426" t="s">
        <v>552</v>
      </c>
      <c r="B426" t="s">
        <v>553</v>
      </c>
      <c r="C426" t="s">
        <v>554</v>
      </c>
      <c r="D426" s="8">
        <v>12560070</v>
      </c>
      <c r="E426" t="s">
        <v>15</v>
      </c>
      <c r="F426" t="s">
        <v>67</v>
      </c>
      <c r="G426" t="s">
        <v>68</v>
      </c>
      <c r="H426">
        <v>8</v>
      </c>
      <c r="I426">
        <v>38.28</v>
      </c>
      <c r="J426" t="s">
        <v>77</v>
      </c>
      <c r="K426" t="s">
        <v>70</v>
      </c>
      <c r="L426" t="s">
        <v>239</v>
      </c>
      <c r="M426" t="s">
        <v>72</v>
      </c>
      <c r="N426">
        <v>0.01</v>
      </c>
      <c r="O426">
        <v>1.0000000000000009E-2</v>
      </c>
      <c r="P426">
        <v>8</v>
      </c>
      <c r="Q426">
        <v>0</v>
      </c>
    </row>
    <row r="427" spans="1:17" x14ac:dyDescent="0.2">
      <c r="A427" t="s">
        <v>555</v>
      </c>
      <c r="B427" t="s">
        <v>556</v>
      </c>
      <c r="C427" t="s">
        <v>557</v>
      </c>
      <c r="D427" s="8">
        <v>12575101</v>
      </c>
      <c r="E427" t="s">
        <v>9</v>
      </c>
      <c r="F427" t="s">
        <v>67</v>
      </c>
      <c r="G427" t="s">
        <v>68</v>
      </c>
      <c r="H427">
        <v>1</v>
      </c>
      <c r="I427">
        <v>239.34</v>
      </c>
      <c r="J427" t="s">
        <v>77</v>
      </c>
      <c r="K427" t="s">
        <v>70</v>
      </c>
      <c r="L427" t="s">
        <v>239</v>
      </c>
      <c r="M427" t="s">
        <v>72</v>
      </c>
      <c r="N427">
        <v>0.06</v>
      </c>
      <c r="O427">
        <v>6.0000000000000053E-2</v>
      </c>
      <c r="P427">
        <v>1</v>
      </c>
      <c r="Q427">
        <v>0</v>
      </c>
    </row>
    <row r="428" spans="1:17" x14ac:dyDescent="0.2">
      <c r="A428" t="s">
        <v>558</v>
      </c>
      <c r="B428" t="s">
        <v>556</v>
      </c>
      <c r="C428" t="s">
        <v>557</v>
      </c>
      <c r="D428" s="8">
        <v>12613402</v>
      </c>
      <c r="E428" t="s">
        <v>73</v>
      </c>
      <c r="F428" t="s">
        <v>67</v>
      </c>
      <c r="G428" t="s">
        <v>68</v>
      </c>
      <c r="H428">
        <v>6</v>
      </c>
      <c r="I428">
        <v>18.32</v>
      </c>
      <c r="J428" t="s">
        <v>77</v>
      </c>
      <c r="K428" t="s">
        <v>70</v>
      </c>
      <c r="L428" t="s">
        <v>239</v>
      </c>
      <c r="M428" t="s">
        <v>72</v>
      </c>
      <c r="N428">
        <v>0.01</v>
      </c>
      <c r="O428">
        <v>1.0000000000000009E-2</v>
      </c>
      <c r="P428">
        <v>6</v>
      </c>
      <c r="Q428">
        <v>0</v>
      </c>
    </row>
    <row r="429" spans="1:17" x14ac:dyDescent="0.2">
      <c r="A429" t="s">
        <v>558</v>
      </c>
      <c r="B429" t="s">
        <v>556</v>
      </c>
      <c r="C429" t="s">
        <v>557</v>
      </c>
      <c r="D429" s="8">
        <v>12436421</v>
      </c>
      <c r="E429" t="s">
        <v>6</v>
      </c>
      <c r="F429" t="s">
        <v>67</v>
      </c>
      <c r="G429" t="s">
        <v>68</v>
      </c>
      <c r="H429">
        <v>4</v>
      </c>
      <c r="I429">
        <v>42.99</v>
      </c>
      <c r="J429" t="s">
        <v>77</v>
      </c>
      <c r="K429" t="s">
        <v>70</v>
      </c>
      <c r="L429" t="s">
        <v>239</v>
      </c>
      <c r="M429" t="s">
        <v>72</v>
      </c>
      <c r="N429">
        <v>0.02</v>
      </c>
      <c r="O429">
        <v>2.0000000000000018E-2</v>
      </c>
      <c r="P429">
        <v>4</v>
      </c>
      <c r="Q429">
        <v>0</v>
      </c>
    </row>
    <row r="430" spans="1:17" x14ac:dyDescent="0.2">
      <c r="A430" t="s">
        <v>558</v>
      </c>
      <c r="B430" t="s">
        <v>556</v>
      </c>
      <c r="C430" t="s">
        <v>557</v>
      </c>
      <c r="D430" s="8">
        <v>12604377</v>
      </c>
      <c r="E430" t="s">
        <v>93</v>
      </c>
      <c r="F430" t="s">
        <v>67</v>
      </c>
      <c r="G430" t="s">
        <v>68</v>
      </c>
      <c r="H430">
        <v>5</v>
      </c>
      <c r="I430">
        <v>67.27</v>
      </c>
      <c r="J430" t="s">
        <v>77</v>
      </c>
      <c r="K430" t="s">
        <v>70</v>
      </c>
      <c r="L430" t="s">
        <v>239</v>
      </c>
      <c r="M430" t="s">
        <v>72</v>
      </c>
      <c r="N430">
        <v>0.03</v>
      </c>
      <c r="O430">
        <v>3.0000000000000027E-2</v>
      </c>
      <c r="P430">
        <v>5</v>
      </c>
      <c r="Q430">
        <v>0</v>
      </c>
    </row>
    <row r="431" spans="1:17" x14ac:dyDescent="0.2">
      <c r="A431" t="s">
        <v>558</v>
      </c>
      <c r="B431" t="s">
        <v>556</v>
      </c>
      <c r="C431" t="s">
        <v>557</v>
      </c>
      <c r="D431" s="8">
        <v>12560070</v>
      </c>
      <c r="E431" t="s">
        <v>15</v>
      </c>
      <c r="F431" t="s">
        <v>67</v>
      </c>
      <c r="G431" t="s">
        <v>68</v>
      </c>
      <c r="H431">
        <v>8</v>
      </c>
      <c r="I431">
        <v>38.28</v>
      </c>
      <c r="J431" t="s">
        <v>77</v>
      </c>
      <c r="K431" t="s">
        <v>70</v>
      </c>
      <c r="L431" t="s">
        <v>239</v>
      </c>
      <c r="M431" t="s">
        <v>72</v>
      </c>
      <c r="N431">
        <v>0.01</v>
      </c>
      <c r="O431">
        <v>1.0000000000000009E-2</v>
      </c>
      <c r="P431">
        <v>8</v>
      </c>
      <c r="Q431">
        <v>0</v>
      </c>
    </row>
    <row r="432" spans="1:17" x14ac:dyDescent="0.2">
      <c r="A432" t="s">
        <v>559</v>
      </c>
      <c r="B432" t="s">
        <v>560</v>
      </c>
      <c r="C432" t="s">
        <v>561</v>
      </c>
      <c r="D432" s="8">
        <v>43564</v>
      </c>
      <c r="E432" t="s">
        <v>97</v>
      </c>
      <c r="F432" t="s">
        <v>67</v>
      </c>
      <c r="G432" t="s">
        <v>68</v>
      </c>
      <c r="H432">
        <v>1</v>
      </c>
      <c r="I432">
        <v>67.27</v>
      </c>
      <c r="J432" t="s">
        <v>77</v>
      </c>
      <c r="K432" t="s">
        <v>70</v>
      </c>
      <c r="L432" t="s">
        <v>239</v>
      </c>
      <c r="M432" t="s">
        <v>72</v>
      </c>
      <c r="N432">
        <v>1</v>
      </c>
      <c r="O432">
        <v>0</v>
      </c>
      <c r="P432">
        <v>0</v>
      </c>
      <c r="Q432">
        <v>1</v>
      </c>
    </row>
    <row r="433" spans="1:17" x14ac:dyDescent="0.2">
      <c r="A433" t="s">
        <v>559</v>
      </c>
      <c r="B433" t="s">
        <v>560</v>
      </c>
      <c r="C433" t="s">
        <v>561</v>
      </c>
      <c r="D433" s="8">
        <v>12613402</v>
      </c>
      <c r="E433" t="s">
        <v>73</v>
      </c>
      <c r="F433" t="s">
        <v>67</v>
      </c>
      <c r="G433" t="s">
        <v>68</v>
      </c>
      <c r="H433">
        <v>6</v>
      </c>
      <c r="I433">
        <v>18.32</v>
      </c>
      <c r="J433" t="s">
        <v>77</v>
      </c>
      <c r="K433" t="s">
        <v>70</v>
      </c>
      <c r="L433" t="s">
        <v>239</v>
      </c>
      <c r="M433" t="s">
        <v>72</v>
      </c>
      <c r="N433">
        <v>0.01</v>
      </c>
      <c r="O433">
        <v>1.0000000000000009E-2</v>
      </c>
      <c r="P433">
        <v>6</v>
      </c>
      <c r="Q433">
        <v>0</v>
      </c>
    </row>
    <row r="434" spans="1:17" x14ac:dyDescent="0.2">
      <c r="A434" t="s">
        <v>559</v>
      </c>
      <c r="B434" t="s">
        <v>560</v>
      </c>
      <c r="C434" t="s">
        <v>561</v>
      </c>
      <c r="D434" s="8">
        <v>12604377</v>
      </c>
      <c r="E434" t="s">
        <v>93</v>
      </c>
      <c r="F434" t="s">
        <v>67</v>
      </c>
      <c r="G434" t="s">
        <v>68</v>
      </c>
      <c r="H434">
        <v>5</v>
      </c>
      <c r="I434">
        <v>67.27</v>
      </c>
      <c r="J434" t="s">
        <v>77</v>
      </c>
      <c r="K434" t="s">
        <v>70</v>
      </c>
      <c r="L434" t="s">
        <v>239</v>
      </c>
      <c r="M434" t="s">
        <v>72</v>
      </c>
      <c r="N434">
        <v>0.03</v>
      </c>
      <c r="O434">
        <v>3.0000000000000027E-2</v>
      </c>
      <c r="P434">
        <v>5</v>
      </c>
      <c r="Q434">
        <v>0</v>
      </c>
    </row>
    <row r="435" spans="1:17" x14ac:dyDescent="0.2">
      <c r="A435" t="s">
        <v>559</v>
      </c>
      <c r="B435" t="s">
        <v>560</v>
      </c>
      <c r="C435" t="s">
        <v>561</v>
      </c>
      <c r="D435" s="8">
        <v>12560070</v>
      </c>
      <c r="E435" t="s">
        <v>15</v>
      </c>
      <c r="F435" t="s">
        <v>67</v>
      </c>
      <c r="G435" t="s">
        <v>68</v>
      </c>
      <c r="H435">
        <v>8</v>
      </c>
      <c r="I435">
        <v>38.28</v>
      </c>
      <c r="J435" t="s">
        <v>77</v>
      </c>
      <c r="K435" t="s">
        <v>70</v>
      </c>
      <c r="L435" t="s">
        <v>239</v>
      </c>
      <c r="M435" t="s">
        <v>72</v>
      </c>
      <c r="N435">
        <v>0.01</v>
      </c>
      <c r="O435">
        <v>1.0000000000000009E-2</v>
      </c>
      <c r="P435">
        <v>8</v>
      </c>
      <c r="Q435">
        <v>0</v>
      </c>
    </row>
    <row r="436" spans="1:17" x14ac:dyDescent="0.2">
      <c r="A436" t="s">
        <v>562</v>
      </c>
      <c r="B436" t="s">
        <v>563</v>
      </c>
      <c r="C436" t="s">
        <v>564</v>
      </c>
      <c r="D436" s="8">
        <v>12575101</v>
      </c>
      <c r="E436" t="s">
        <v>9</v>
      </c>
      <c r="F436" t="s">
        <v>67</v>
      </c>
      <c r="G436" t="s">
        <v>68</v>
      </c>
      <c r="H436">
        <v>1</v>
      </c>
      <c r="I436">
        <v>239.34</v>
      </c>
      <c r="J436" t="s">
        <v>77</v>
      </c>
      <c r="K436" t="s">
        <v>70</v>
      </c>
      <c r="L436" t="s">
        <v>239</v>
      </c>
      <c r="M436" t="s">
        <v>72</v>
      </c>
      <c r="N436">
        <v>0.06</v>
      </c>
      <c r="O436">
        <v>6.0000000000000053E-2</v>
      </c>
      <c r="P436">
        <v>1</v>
      </c>
      <c r="Q436">
        <v>0</v>
      </c>
    </row>
    <row r="437" spans="1:17" x14ac:dyDescent="0.2">
      <c r="A437" t="s">
        <v>565</v>
      </c>
      <c r="B437" t="s">
        <v>563</v>
      </c>
      <c r="C437" t="s">
        <v>564</v>
      </c>
      <c r="D437" s="8">
        <v>12613402</v>
      </c>
      <c r="E437" t="s">
        <v>73</v>
      </c>
      <c r="F437" t="s">
        <v>67</v>
      </c>
      <c r="G437" t="s">
        <v>68</v>
      </c>
      <c r="H437">
        <v>6</v>
      </c>
      <c r="I437">
        <v>18.32</v>
      </c>
      <c r="J437" t="s">
        <v>77</v>
      </c>
      <c r="K437" t="s">
        <v>70</v>
      </c>
      <c r="L437" t="s">
        <v>239</v>
      </c>
      <c r="M437" t="s">
        <v>72</v>
      </c>
      <c r="N437">
        <v>0.01</v>
      </c>
      <c r="O437">
        <v>1.0000000000000009E-2</v>
      </c>
      <c r="P437">
        <v>6</v>
      </c>
      <c r="Q437">
        <v>0</v>
      </c>
    </row>
    <row r="438" spans="1:17" x14ac:dyDescent="0.2">
      <c r="A438" t="s">
        <v>565</v>
      </c>
      <c r="B438" t="s">
        <v>563</v>
      </c>
      <c r="C438" t="s">
        <v>564</v>
      </c>
      <c r="D438" s="8">
        <v>12436421</v>
      </c>
      <c r="E438" t="s">
        <v>6</v>
      </c>
      <c r="F438" t="s">
        <v>67</v>
      </c>
      <c r="G438" t="s">
        <v>68</v>
      </c>
      <c r="H438">
        <v>4</v>
      </c>
      <c r="I438">
        <v>42.99</v>
      </c>
      <c r="J438" t="s">
        <v>77</v>
      </c>
      <c r="K438" t="s">
        <v>70</v>
      </c>
      <c r="L438" t="s">
        <v>239</v>
      </c>
      <c r="M438" t="s">
        <v>72</v>
      </c>
      <c r="N438">
        <v>0.02</v>
      </c>
      <c r="O438">
        <v>2.0000000000000018E-2</v>
      </c>
      <c r="P438">
        <v>4</v>
      </c>
      <c r="Q438">
        <v>0</v>
      </c>
    </row>
    <row r="439" spans="1:17" x14ac:dyDescent="0.2">
      <c r="A439" t="s">
        <v>566</v>
      </c>
      <c r="B439" t="s">
        <v>567</v>
      </c>
      <c r="C439" t="s">
        <v>568</v>
      </c>
      <c r="D439" s="8">
        <v>12613402</v>
      </c>
      <c r="E439" t="s">
        <v>73</v>
      </c>
      <c r="F439" t="s">
        <v>67</v>
      </c>
      <c r="G439" t="s">
        <v>68</v>
      </c>
      <c r="H439">
        <v>6</v>
      </c>
      <c r="I439">
        <v>18.32</v>
      </c>
      <c r="J439" t="s">
        <v>77</v>
      </c>
      <c r="K439" t="s">
        <v>70</v>
      </c>
      <c r="L439" t="s">
        <v>239</v>
      </c>
      <c r="M439" t="s">
        <v>72</v>
      </c>
      <c r="N439">
        <v>0.01</v>
      </c>
      <c r="O439">
        <v>1.0000000000000009E-2</v>
      </c>
      <c r="P439">
        <v>6</v>
      </c>
      <c r="Q439">
        <v>0</v>
      </c>
    </row>
    <row r="440" spans="1:17" x14ac:dyDescent="0.2">
      <c r="A440" t="s">
        <v>566</v>
      </c>
      <c r="B440" t="s">
        <v>567</v>
      </c>
      <c r="C440" t="s">
        <v>568</v>
      </c>
      <c r="D440" s="8">
        <v>12436421</v>
      </c>
      <c r="E440" t="s">
        <v>6</v>
      </c>
      <c r="F440" t="s">
        <v>67</v>
      </c>
      <c r="G440" t="s">
        <v>68</v>
      </c>
      <c r="H440">
        <v>4</v>
      </c>
      <c r="I440">
        <v>42.99</v>
      </c>
      <c r="J440" t="s">
        <v>77</v>
      </c>
      <c r="K440" t="s">
        <v>70</v>
      </c>
      <c r="L440" t="s">
        <v>239</v>
      </c>
      <c r="M440" t="s">
        <v>72</v>
      </c>
      <c r="N440">
        <v>0.02</v>
      </c>
      <c r="O440">
        <v>2.0000000000000018E-2</v>
      </c>
      <c r="P440">
        <v>4</v>
      </c>
      <c r="Q440">
        <v>0</v>
      </c>
    </row>
    <row r="441" spans="1:17" x14ac:dyDescent="0.2">
      <c r="A441" t="s">
        <v>566</v>
      </c>
      <c r="B441" t="s">
        <v>567</v>
      </c>
      <c r="C441" t="s">
        <v>568</v>
      </c>
      <c r="D441" s="8">
        <v>12560070</v>
      </c>
      <c r="E441" t="s">
        <v>15</v>
      </c>
      <c r="F441" t="s">
        <v>67</v>
      </c>
      <c r="G441" t="s">
        <v>68</v>
      </c>
      <c r="H441">
        <v>8</v>
      </c>
      <c r="I441">
        <v>38.28</v>
      </c>
      <c r="J441" t="s">
        <v>77</v>
      </c>
      <c r="K441" t="s">
        <v>70</v>
      </c>
      <c r="L441" t="s">
        <v>239</v>
      </c>
      <c r="M441" t="s">
        <v>72</v>
      </c>
      <c r="N441">
        <v>0.01</v>
      </c>
      <c r="O441">
        <v>1.0000000000000009E-2</v>
      </c>
      <c r="P441">
        <v>8</v>
      </c>
      <c r="Q441">
        <v>0</v>
      </c>
    </row>
    <row r="442" spans="1:17" x14ac:dyDescent="0.2">
      <c r="A442" t="s">
        <v>569</v>
      </c>
      <c r="B442" t="s">
        <v>570</v>
      </c>
      <c r="C442" t="s">
        <v>571</v>
      </c>
      <c r="D442" s="8">
        <v>12613402</v>
      </c>
      <c r="E442" t="s">
        <v>73</v>
      </c>
      <c r="F442" t="s">
        <v>67</v>
      </c>
      <c r="G442" t="s">
        <v>68</v>
      </c>
      <c r="H442">
        <v>6</v>
      </c>
      <c r="I442">
        <v>18.32</v>
      </c>
      <c r="J442" t="s">
        <v>77</v>
      </c>
      <c r="K442" t="s">
        <v>70</v>
      </c>
      <c r="L442" t="s">
        <v>239</v>
      </c>
      <c r="M442" t="s">
        <v>72</v>
      </c>
      <c r="N442">
        <v>0.01</v>
      </c>
      <c r="O442">
        <v>1.0000000000000009E-2</v>
      </c>
      <c r="P442">
        <v>6</v>
      </c>
      <c r="Q442">
        <v>0</v>
      </c>
    </row>
    <row r="443" spans="1:17" x14ac:dyDescent="0.2">
      <c r="A443" t="s">
        <v>569</v>
      </c>
      <c r="B443" t="s">
        <v>570</v>
      </c>
      <c r="C443" t="s">
        <v>571</v>
      </c>
      <c r="D443" s="8">
        <v>12436421</v>
      </c>
      <c r="E443" t="s">
        <v>6</v>
      </c>
      <c r="F443" t="s">
        <v>67</v>
      </c>
      <c r="G443" t="s">
        <v>68</v>
      </c>
      <c r="H443">
        <v>4</v>
      </c>
      <c r="I443">
        <v>42.99</v>
      </c>
      <c r="J443" t="s">
        <v>77</v>
      </c>
      <c r="K443" t="s">
        <v>70</v>
      </c>
      <c r="L443" t="s">
        <v>239</v>
      </c>
      <c r="M443" t="s">
        <v>72</v>
      </c>
      <c r="N443">
        <v>0.02</v>
      </c>
      <c r="O443">
        <v>2.0000000000000018E-2</v>
      </c>
      <c r="P443">
        <v>4</v>
      </c>
      <c r="Q443">
        <v>0</v>
      </c>
    </row>
    <row r="444" spans="1:17" x14ac:dyDescent="0.2">
      <c r="A444" t="s">
        <v>569</v>
      </c>
      <c r="B444" t="s">
        <v>570</v>
      </c>
      <c r="C444" t="s">
        <v>571</v>
      </c>
      <c r="D444" s="8">
        <v>12604377</v>
      </c>
      <c r="E444" t="s">
        <v>93</v>
      </c>
      <c r="F444" t="s">
        <v>67</v>
      </c>
      <c r="G444" t="s">
        <v>68</v>
      </c>
      <c r="H444">
        <v>5</v>
      </c>
      <c r="I444">
        <v>67.27</v>
      </c>
      <c r="J444" t="s">
        <v>77</v>
      </c>
      <c r="K444" t="s">
        <v>70</v>
      </c>
      <c r="L444" t="s">
        <v>239</v>
      </c>
      <c r="M444" t="s">
        <v>72</v>
      </c>
      <c r="N444">
        <v>0.03</v>
      </c>
      <c r="O444">
        <v>3.0000000000000027E-2</v>
      </c>
      <c r="P444">
        <v>5</v>
      </c>
      <c r="Q444">
        <v>0</v>
      </c>
    </row>
    <row r="445" spans="1:17" x14ac:dyDescent="0.2">
      <c r="A445" t="s">
        <v>569</v>
      </c>
      <c r="B445" t="s">
        <v>570</v>
      </c>
      <c r="C445" t="s">
        <v>571</v>
      </c>
      <c r="D445" s="8">
        <v>12560070</v>
      </c>
      <c r="E445" t="s">
        <v>15</v>
      </c>
      <c r="F445" t="s">
        <v>67</v>
      </c>
      <c r="G445" t="s">
        <v>68</v>
      </c>
      <c r="H445">
        <v>8</v>
      </c>
      <c r="I445">
        <v>38.28</v>
      </c>
      <c r="J445" t="s">
        <v>77</v>
      </c>
      <c r="K445" t="s">
        <v>70</v>
      </c>
      <c r="L445" t="s">
        <v>239</v>
      </c>
      <c r="M445" t="s">
        <v>72</v>
      </c>
      <c r="N445">
        <v>0.01</v>
      </c>
      <c r="O445">
        <v>1.0000000000000009E-2</v>
      </c>
      <c r="P445">
        <v>8</v>
      </c>
      <c r="Q445">
        <v>0</v>
      </c>
    </row>
    <row r="446" spans="1:17" x14ac:dyDescent="0.2">
      <c r="A446" t="s">
        <v>572</v>
      </c>
      <c r="B446" t="s">
        <v>573</v>
      </c>
      <c r="C446" t="s">
        <v>574</v>
      </c>
      <c r="D446" s="8">
        <v>12613402</v>
      </c>
      <c r="E446" t="s">
        <v>73</v>
      </c>
      <c r="F446" t="s">
        <v>67</v>
      </c>
      <c r="G446" t="s">
        <v>68</v>
      </c>
      <c r="H446">
        <v>6</v>
      </c>
      <c r="I446">
        <v>18.32</v>
      </c>
      <c r="J446" t="s">
        <v>77</v>
      </c>
      <c r="K446" t="s">
        <v>70</v>
      </c>
      <c r="L446" t="s">
        <v>239</v>
      </c>
      <c r="M446" t="s">
        <v>72</v>
      </c>
      <c r="N446">
        <v>0.01</v>
      </c>
      <c r="O446">
        <v>1.0000000000000009E-2</v>
      </c>
      <c r="P446">
        <v>6</v>
      </c>
      <c r="Q446">
        <v>0</v>
      </c>
    </row>
    <row r="447" spans="1:17" x14ac:dyDescent="0.2">
      <c r="A447" t="s">
        <v>572</v>
      </c>
      <c r="B447" t="s">
        <v>573</v>
      </c>
      <c r="C447" t="s">
        <v>574</v>
      </c>
      <c r="D447" s="8">
        <v>12605969</v>
      </c>
      <c r="E447" t="s">
        <v>66</v>
      </c>
      <c r="F447" t="s">
        <v>67</v>
      </c>
      <c r="G447" t="s">
        <v>68</v>
      </c>
      <c r="H447">
        <v>1</v>
      </c>
      <c r="I447">
        <v>18.75</v>
      </c>
      <c r="J447" t="s">
        <v>77</v>
      </c>
      <c r="K447" t="s">
        <v>70</v>
      </c>
      <c r="L447" t="s">
        <v>239</v>
      </c>
      <c r="M447" t="s">
        <v>72</v>
      </c>
      <c r="N447">
        <v>0.01</v>
      </c>
      <c r="O447">
        <v>1.0000000000000009E-2</v>
      </c>
      <c r="P447">
        <v>1</v>
      </c>
      <c r="Q447">
        <v>0</v>
      </c>
    </row>
    <row r="448" spans="1:17" x14ac:dyDescent="0.2">
      <c r="A448" t="s">
        <v>572</v>
      </c>
      <c r="B448" t="s">
        <v>573</v>
      </c>
      <c r="C448" t="s">
        <v>574</v>
      </c>
      <c r="D448" s="8">
        <v>12605994</v>
      </c>
      <c r="E448" t="s">
        <v>85</v>
      </c>
      <c r="F448" t="s">
        <v>67</v>
      </c>
      <c r="G448" t="s">
        <v>68</v>
      </c>
      <c r="H448">
        <v>1</v>
      </c>
      <c r="I448">
        <v>18.75</v>
      </c>
      <c r="J448" t="s">
        <v>77</v>
      </c>
      <c r="K448" t="s">
        <v>70</v>
      </c>
      <c r="L448" t="s">
        <v>239</v>
      </c>
      <c r="M448" t="s">
        <v>72</v>
      </c>
      <c r="N448">
        <v>0.01</v>
      </c>
      <c r="O448">
        <v>1.0000000000000009E-2</v>
      </c>
      <c r="P448">
        <v>1</v>
      </c>
      <c r="Q448">
        <v>0</v>
      </c>
    </row>
    <row r="449" spans="1:17" x14ac:dyDescent="0.2">
      <c r="A449" t="s">
        <v>572</v>
      </c>
      <c r="B449" t="s">
        <v>573</v>
      </c>
      <c r="C449" t="s">
        <v>574</v>
      </c>
      <c r="D449" s="8">
        <v>12436421</v>
      </c>
      <c r="E449" t="s">
        <v>6</v>
      </c>
      <c r="F449" t="s">
        <v>67</v>
      </c>
      <c r="G449" t="s">
        <v>68</v>
      </c>
      <c r="H449">
        <v>4</v>
      </c>
      <c r="I449">
        <v>42.99</v>
      </c>
      <c r="J449" t="s">
        <v>77</v>
      </c>
      <c r="K449" t="s">
        <v>70</v>
      </c>
      <c r="L449" t="s">
        <v>239</v>
      </c>
      <c r="M449" t="s">
        <v>72</v>
      </c>
      <c r="N449">
        <v>0.02</v>
      </c>
      <c r="O449">
        <v>2.0000000000000018E-2</v>
      </c>
      <c r="P449">
        <v>4</v>
      </c>
      <c r="Q449">
        <v>0</v>
      </c>
    </row>
    <row r="450" spans="1:17" x14ac:dyDescent="0.2">
      <c r="A450" t="s">
        <v>575</v>
      </c>
      <c r="B450" t="s">
        <v>576</v>
      </c>
      <c r="C450" t="s">
        <v>577</v>
      </c>
      <c r="D450" s="8">
        <v>12436421</v>
      </c>
      <c r="E450" t="s">
        <v>6</v>
      </c>
      <c r="F450" t="s">
        <v>67</v>
      </c>
      <c r="G450" t="s">
        <v>68</v>
      </c>
      <c r="H450">
        <v>8</v>
      </c>
      <c r="I450">
        <v>85.97</v>
      </c>
      <c r="J450" t="s">
        <v>77</v>
      </c>
      <c r="K450" t="s">
        <v>70</v>
      </c>
      <c r="L450" t="s">
        <v>239</v>
      </c>
      <c r="M450" t="s">
        <v>72</v>
      </c>
      <c r="N450">
        <v>0.04</v>
      </c>
      <c r="O450">
        <v>4.0000000000000036E-2</v>
      </c>
      <c r="P450">
        <v>8</v>
      </c>
      <c r="Q450">
        <v>0</v>
      </c>
    </row>
    <row r="451" spans="1:17" x14ac:dyDescent="0.2">
      <c r="A451" t="s">
        <v>578</v>
      </c>
      <c r="B451" t="s">
        <v>576</v>
      </c>
      <c r="C451" t="s">
        <v>577</v>
      </c>
      <c r="D451" s="8">
        <v>12575101</v>
      </c>
      <c r="E451" t="s">
        <v>9</v>
      </c>
      <c r="F451" t="s">
        <v>67</v>
      </c>
      <c r="G451" t="s">
        <v>68</v>
      </c>
      <c r="H451">
        <v>1</v>
      </c>
      <c r="I451">
        <v>239.34</v>
      </c>
      <c r="J451" t="s">
        <v>77</v>
      </c>
      <c r="K451" t="s">
        <v>70</v>
      </c>
      <c r="L451" t="s">
        <v>239</v>
      </c>
      <c r="M451" t="s">
        <v>72</v>
      </c>
      <c r="N451">
        <v>0.06</v>
      </c>
      <c r="O451">
        <v>6.0000000000000053E-2</v>
      </c>
      <c r="P451">
        <v>1</v>
      </c>
      <c r="Q451">
        <v>0</v>
      </c>
    </row>
    <row r="452" spans="1:17" x14ac:dyDescent="0.2">
      <c r="A452" t="s">
        <v>579</v>
      </c>
      <c r="B452" t="s">
        <v>580</v>
      </c>
      <c r="C452" t="s">
        <v>581</v>
      </c>
      <c r="D452" s="8">
        <v>12613402</v>
      </c>
      <c r="E452" t="s">
        <v>73</v>
      </c>
      <c r="F452" t="s">
        <v>67</v>
      </c>
      <c r="G452" t="s">
        <v>68</v>
      </c>
      <c r="H452">
        <v>6</v>
      </c>
      <c r="I452">
        <v>18.32</v>
      </c>
      <c r="J452" t="s">
        <v>77</v>
      </c>
      <c r="K452" t="s">
        <v>70</v>
      </c>
      <c r="L452" t="s">
        <v>239</v>
      </c>
      <c r="M452" t="s">
        <v>72</v>
      </c>
      <c r="N452">
        <v>0.01</v>
      </c>
      <c r="O452">
        <v>1.0000000000000009E-2</v>
      </c>
      <c r="P452">
        <v>6</v>
      </c>
      <c r="Q452">
        <v>0</v>
      </c>
    </row>
    <row r="453" spans="1:17" x14ac:dyDescent="0.2">
      <c r="A453" t="s">
        <v>579</v>
      </c>
      <c r="B453" t="s">
        <v>580</v>
      </c>
      <c r="C453" t="s">
        <v>581</v>
      </c>
      <c r="D453" s="8">
        <v>12605969</v>
      </c>
      <c r="E453" t="s">
        <v>66</v>
      </c>
      <c r="F453" t="s">
        <v>67</v>
      </c>
      <c r="G453" t="s">
        <v>68</v>
      </c>
      <c r="H453">
        <v>1</v>
      </c>
      <c r="I453">
        <v>18.75</v>
      </c>
      <c r="J453" t="s">
        <v>77</v>
      </c>
      <c r="K453" t="s">
        <v>70</v>
      </c>
      <c r="L453" t="s">
        <v>239</v>
      </c>
      <c r="M453" t="s">
        <v>72</v>
      </c>
      <c r="N453">
        <v>0.01</v>
      </c>
      <c r="O453">
        <v>1.0000000000000009E-2</v>
      </c>
      <c r="P453">
        <v>1</v>
      </c>
      <c r="Q453">
        <v>0</v>
      </c>
    </row>
    <row r="454" spans="1:17" x14ac:dyDescent="0.2">
      <c r="A454" t="s">
        <v>579</v>
      </c>
      <c r="B454" t="s">
        <v>580</v>
      </c>
      <c r="C454" t="s">
        <v>581</v>
      </c>
      <c r="D454" s="8">
        <v>12605994</v>
      </c>
      <c r="E454" t="s">
        <v>85</v>
      </c>
      <c r="F454" t="s">
        <v>67</v>
      </c>
      <c r="G454" t="s">
        <v>68</v>
      </c>
      <c r="H454">
        <v>1</v>
      </c>
      <c r="I454">
        <v>18.75</v>
      </c>
      <c r="J454" t="s">
        <v>77</v>
      </c>
      <c r="K454" t="s">
        <v>70</v>
      </c>
      <c r="L454" t="s">
        <v>239</v>
      </c>
      <c r="M454" t="s">
        <v>72</v>
      </c>
      <c r="N454">
        <v>0.01</v>
      </c>
      <c r="O454">
        <v>1.0000000000000009E-2</v>
      </c>
      <c r="P454">
        <v>1</v>
      </c>
      <c r="Q454">
        <v>0</v>
      </c>
    </row>
    <row r="455" spans="1:17" x14ac:dyDescent="0.2">
      <c r="A455" t="s">
        <v>579</v>
      </c>
      <c r="B455" t="s">
        <v>580</v>
      </c>
      <c r="C455" t="s">
        <v>581</v>
      </c>
      <c r="D455" s="8">
        <v>12560070</v>
      </c>
      <c r="E455" t="s">
        <v>15</v>
      </c>
      <c r="F455" t="s">
        <v>67</v>
      </c>
      <c r="G455" t="s">
        <v>68</v>
      </c>
      <c r="H455">
        <v>8</v>
      </c>
      <c r="I455">
        <v>38.28</v>
      </c>
      <c r="J455" t="s">
        <v>77</v>
      </c>
      <c r="K455" t="s">
        <v>70</v>
      </c>
      <c r="L455" t="s">
        <v>239</v>
      </c>
      <c r="M455" t="s">
        <v>72</v>
      </c>
      <c r="N455">
        <v>0.01</v>
      </c>
      <c r="O455">
        <v>1.0000000000000009E-2</v>
      </c>
      <c r="P455">
        <v>8</v>
      </c>
      <c r="Q455">
        <v>0</v>
      </c>
    </row>
    <row r="456" spans="1:17" x14ac:dyDescent="0.2">
      <c r="A456" t="s">
        <v>582</v>
      </c>
      <c r="B456" t="s">
        <v>583</v>
      </c>
      <c r="C456" t="s">
        <v>584</v>
      </c>
      <c r="D456" s="8">
        <v>43564</v>
      </c>
      <c r="E456" t="s">
        <v>97</v>
      </c>
      <c r="F456" t="s">
        <v>67</v>
      </c>
      <c r="G456" t="s">
        <v>68</v>
      </c>
      <c r="H456">
        <v>1</v>
      </c>
      <c r="I456">
        <v>67.27</v>
      </c>
      <c r="J456" t="s">
        <v>77</v>
      </c>
      <c r="K456" t="s">
        <v>70</v>
      </c>
      <c r="L456" t="s">
        <v>239</v>
      </c>
      <c r="M456" t="s">
        <v>72</v>
      </c>
      <c r="N456">
        <v>1</v>
      </c>
      <c r="O456">
        <v>0</v>
      </c>
      <c r="P456">
        <v>0</v>
      </c>
      <c r="Q456">
        <v>1</v>
      </c>
    </row>
    <row r="457" spans="1:17" x14ac:dyDescent="0.2">
      <c r="A457" t="s">
        <v>582</v>
      </c>
      <c r="B457" t="s">
        <v>583</v>
      </c>
      <c r="C457" t="s">
        <v>584</v>
      </c>
      <c r="D457" s="8">
        <v>12613402</v>
      </c>
      <c r="E457" t="s">
        <v>73</v>
      </c>
      <c r="F457" t="s">
        <v>67</v>
      </c>
      <c r="G457" t="s">
        <v>68</v>
      </c>
      <c r="H457">
        <v>6</v>
      </c>
      <c r="I457">
        <v>18.32</v>
      </c>
      <c r="J457" t="s">
        <v>77</v>
      </c>
      <c r="K457" t="s">
        <v>70</v>
      </c>
      <c r="L457" t="s">
        <v>239</v>
      </c>
      <c r="M457" t="s">
        <v>72</v>
      </c>
      <c r="N457">
        <v>0.01</v>
      </c>
      <c r="O457">
        <v>1.0000000000000009E-2</v>
      </c>
      <c r="P457">
        <v>6</v>
      </c>
      <c r="Q457">
        <v>0</v>
      </c>
    </row>
    <row r="458" spans="1:17" x14ac:dyDescent="0.2">
      <c r="A458" t="s">
        <v>582</v>
      </c>
      <c r="B458" t="s">
        <v>583</v>
      </c>
      <c r="C458" t="s">
        <v>584</v>
      </c>
      <c r="D458" s="8">
        <v>12605969</v>
      </c>
      <c r="E458" t="s">
        <v>66</v>
      </c>
      <c r="F458" t="s">
        <v>67</v>
      </c>
      <c r="G458" t="s">
        <v>68</v>
      </c>
      <c r="H458">
        <v>1</v>
      </c>
      <c r="I458">
        <v>18.75</v>
      </c>
      <c r="J458" t="s">
        <v>77</v>
      </c>
      <c r="K458" t="s">
        <v>70</v>
      </c>
      <c r="L458" t="s">
        <v>239</v>
      </c>
      <c r="M458" t="s">
        <v>72</v>
      </c>
      <c r="N458">
        <v>0.01</v>
      </c>
      <c r="O458">
        <v>1.0000000000000009E-2</v>
      </c>
      <c r="P458">
        <v>1</v>
      </c>
      <c r="Q458">
        <v>0</v>
      </c>
    </row>
    <row r="459" spans="1:17" x14ac:dyDescent="0.2">
      <c r="A459" t="s">
        <v>582</v>
      </c>
      <c r="B459" t="s">
        <v>583</v>
      </c>
      <c r="C459" t="s">
        <v>584</v>
      </c>
      <c r="D459" s="8">
        <v>12605994</v>
      </c>
      <c r="E459" t="s">
        <v>85</v>
      </c>
      <c r="F459" t="s">
        <v>67</v>
      </c>
      <c r="G459" t="s">
        <v>68</v>
      </c>
      <c r="H459">
        <v>1</v>
      </c>
      <c r="I459">
        <v>18.75</v>
      </c>
      <c r="J459" t="s">
        <v>77</v>
      </c>
      <c r="K459" t="s">
        <v>70</v>
      </c>
      <c r="L459" t="s">
        <v>239</v>
      </c>
      <c r="M459" t="s">
        <v>72</v>
      </c>
      <c r="N459">
        <v>0.01</v>
      </c>
      <c r="O459">
        <v>1.0000000000000009E-2</v>
      </c>
      <c r="P459">
        <v>1</v>
      </c>
      <c r="Q459">
        <v>0</v>
      </c>
    </row>
    <row r="460" spans="1:17" x14ac:dyDescent="0.2">
      <c r="A460" t="s">
        <v>582</v>
      </c>
      <c r="B460" t="s">
        <v>583</v>
      </c>
      <c r="C460" t="s">
        <v>584</v>
      </c>
      <c r="D460" s="8">
        <v>12604377</v>
      </c>
      <c r="E460" t="s">
        <v>93</v>
      </c>
      <c r="F460" t="s">
        <v>67</v>
      </c>
      <c r="G460" t="s">
        <v>68</v>
      </c>
      <c r="H460">
        <v>5</v>
      </c>
      <c r="I460">
        <v>67.27</v>
      </c>
      <c r="J460" t="s">
        <v>77</v>
      </c>
      <c r="K460" t="s">
        <v>70</v>
      </c>
      <c r="L460" t="s">
        <v>239</v>
      </c>
      <c r="M460" t="s">
        <v>72</v>
      </c>
      <c r="N460">
        <v>0.03</v>
      </c>
      <c r="O460">
        <v>3.0000000000000027E-2</v>
      </c>
      <c r="P460">
        <v>5</v>
      </c>
      <c r="Q460">
        <v>0</v>
      </c>
    </row>
    <row r="461" spans="1:17" x14ac:dyDescent="0.2">
      <c r="A461" t="s">
        <v>582</v>
      </c>
      <c r="B461" t="s">
        <v>583</v>
      </c>
      <c r="C461" t="s">
        <v>584</v>
      </c>
      <c r="D461" s="8">
        <v>12560070</v>
      </c>
      <c r="E461" t="s">
        <v>15</v>
      </c>
      <c r="F461" t="s">
        <v>67</v>
      </c>
      <c r="G461" t="s">
        <v>68</v>
      </c>
      <c r="H461">
        <v>8</v>
      </c>
      <c r="I461">
        <v>38.28</v>
      </c>
      <c r="J461" t="s">
        <v>77</v>
      </c>
      <c r="K461" t="s">
        <v>70</v>
      </c>
      <c r="L461" t="s">
        <v>239</v>
      </c>
      <c r="M461" t="s">
        <v>72</v>
      </c>
      <c r="N461">
        <v>0.01</v>
      </c>
      <c r="O461">
        <v>1.0000000000000009E-2</v>
      </c>
      <c r="P461">
        <v>8</v>
      </c>
      <c r="Q461">
        <v>0</v>
      </c>
    </row>
    <row r="462" spans="1:17" x14ac:dyDescent="0.2">
      <c r="A462" t="s">
        <v>585</v>
      </c>
      <c r="B462" t="s">
        <v>586</v>
      </c>
      <c r="C462" t="s">
        <v>587</v>
      </c>
      <c r="D462" s="8">
        <v>12436421</v>
      </c>
      <c r="E462" t="s">
        <v>6</v>
      </c>
      <c r="F462" t="s">
        <v>67</v>
      </c>
      <c r="G462" t="s">
        <v>68</v>
      </c>
      <c r="H462">
        <v>8</v>
      </c>
      <c r="I462">
        <v>85.97</v>
      </c>
      <c r="J462" t="s">
        <v>77</v>
      </c>
      <c r="K462" t="s">
        <v>70</v>
      </c>
      <c r="L462" t="s">
        <v>239</v>
      </c>
      <c r="M462" t="s">
        <v>72</v>
      </c>
      <c r="N462">
        <v>0.04</v>
      </c>
      <c r="O462">
        <v>4.0000000000000036E-2</v>
      </c>
      <c r="P462">
        <v>8</v>
      </c>
      <c r="Q462">
        <v>0</v>
      </c>
    </row>
    <row r="463" spans="1:17" x14ac:dyDescent="0.2">
      <c r="A463" t="s">
        <v>588</v>
      </c>
      <c r="B463" t="s">
        <v>589</v>
      </c>
      <c r="C463" t="s">
        <v>590</v>
      </c>
      <c r="D463" s="8">
        <v>43564</v>
      </c>
      <c r="E463" t="s">
        <v>97</v>
      </c>
      <c r="F463" t="s">
        <v>67</v>
      </c>
      <c r="G463" t="s">
        <v>68</v>
      </c>
      <c r="H463">
        <v>1</v>
      </c>
      <c r="I463">
        <v>67.27</v>
      </c>
      <c r="J463" t="s">
        <v>77</v>
      </c>
      <c r="K463" t="s">
        <v>70</v>
      </c>
      <c r="L463" t="s">
        <v>239</v>
      </c>
      <c r="M463" t="s">
        <v>72</v>
      </c>
      <c r="N463">
        <v>1</v>
      </c>
      <c r="O463">
        <v>0</v>
      </c>
      <c r="P463">
        <v>0</v>
      </c>
      <c r="Q463">
        <v>1</v>
      </c>
    </row>
    <row r="464" spans="1:17" x14ac:dyDescent="0.2">
      <c r="A464" t="s">
        <v>588</v>
      </c>
      <c r="B464" t="s">
        <v>589</v>
      </c>
      <c r="C464" t="s">
        <v>590</v>
      </c>
      <c r="D464" s="8">
        <v>12613402</v>
      </c>
      <c r="E464" t="s">
        <v>73</v>
      </c>
      <c r="F464" t="s">
        <v>67</v>
      </c>
      <c r="G464" t="s">
        <v>68</v>
      </c>
      <c r="H464">
        <v>6</v>
      </c>
      <c r="I464">
        <v>18.32</v>
      </c>
      <c r="J464" t="s">
        <v>77</v>
      </c>
      <c r="K464" t="s">
        <v>70</v>
      </c>
      <c r="L464" t="s">
        <v>239</v>
      </c>
      <c r="M464" t="s">
        <v>72</v>
      </c>
      <c r="N464">
        <v>0.01</v>
      </c>
      <c r="O464">
        <v>1.0000000000000009E-2</v>
      </c>
      <c r="P464">
        <v>6</v>
      </c>
      <c r="Q464">
        <v>0</v>
      </c>
    </row>
    <row r="465" spans="1:17" x14ac:dyDescent="0.2">
      <c r="A465" t="s">
        <v>588</v>
      </c>
      <c r="B465" t="s">
        <v>589</v>
      </c>
      <c r="C465" t="s">
        <v>590</v>
      </c>
      <c r="D465" s="8">
        <v>12605969</v>
      </c>
      <c r="E465" t="s">
        <v>66</v>
      </c>
      <c r="F465" t="s">
        <v>67</v>
      </c>
      <c r="G465" t="s">
        <v>68</v>
      </c>
      <c r="H465">
        <v>1</v>
      </c>
      <c r="I465">
        <v>18.75</v>
      </c>
      <c r="J465" t="s">
        <v>77</v>
      </c>
      <c r="K465" t="s">
        <v>70</v>
      </c>
      <c r="L465" t="s">
        <v>239</v>
      </c>
      <c r="M465" t="s">
        <v>72</v>
      </c>
      <c r="N465">
        <v>0.01</v>
      </c>
      <c r="O465">
        <v>1.0000000000000009E-2</v>
      </c>
      <c r="P465">
        <v>1</v>
      </c>
      <c r="Q465">
        <v>0</v>
      </c>
    </row>
    <row r="466" spans="1:17" x14ac:dyDescent="0.2">
      <c r="A466" t="s">
        <v>588</v>
      </c>
      <c r="B466" t="s">
        <v>589</v>
      </c>
      <c r="C466" t="s">
        <v>590</v>
      </c>
      <c r="D466" s="8">
        <v>12605994</v>
      </c>
      <c r="E466" t="s">
        <v>85</v>
      </c>
      <c r="F466" t="s">
        <v>67</v>
      </c>
      <c r="G466" t="s">
        <v>68</v>
      </c>
      <c r="H466">
        <v>1</v>
      </c>
      <c r="I466">
        <v>18.75</v>
      </c>
      <c r="J466" t="s">
        <v>77</v>
      </c>
      <c r="K466" t="s">
        <v>70</v>
      </c>
      <c r="L466" t="s">
        <v>239</v>
      </c>
      <c r="M466" t="s">
        <v>72</v>
      </c>
      <c r="N466">
        <v>0.01</v>
      </c>
      <c r="O466">
        <v>1.0000000000000009E-2</v>
      </c>
      <c r="P466">
        <v>1</v>
      </c>
      <c r="Q466">
        <v>0</v>
      </c>
    </row>
    <row r="467" spans="1:17" x14ac:dyDescent="0.2">
      <c r="A467" t="s">
        <v>588</v>
      </c>
      <c r="B467" t="s">
        <v>589</v>
      </c>
      <c r="C467" t="s">
        <v>590</v>
      </c>
      <c r="D467" s="8">
        <v>12604377</v>
      </c>
      <c r="E467" t="s">
        <v>93</v>
      </c>
      <c r="F467" t="s">
        <v>67</v>
      </c>
      <c r="G467" t="s">
        <v>68</v>
      </c>
      <c r="H467">
        <v>5</v>
      </c>
      <c r="I467">
        <v>67.27</v>
      </c>
      <c r="J467" t="s">
        <v>77</v>
      </c>
      <c r="K467" t="s">
        <v>70</v>
      </c>
      <c r="L467" t="s">
        <v>239</v>
      </c>
      <c r="M467" t="s">
        <v>72</v>
      </c>
      <c r="N467">
        <v>0.03</v>
      </c>
      <c r="O467">
        <v>3.0000000000000027E-2</v>
      </c>
      <c r="P467">
        <v>5</v>
      </c>
      <c r="Q467">
        <v>0</v>
      </c>
    </row>
    <row r="468" spans="1:17" x14ac:dyDescent="0.2">
      <c r="A468" t="s">
        <v>588</v>
      </c>
      <c r="B468" t="s">
        <v>589</v>
      </c>
      <c r="C468" t="s">
        <v>590</v>
      </c>
      <c r="D468" s="8">
        <v>12560070</v>
      </c>
      <c r="E468" t="s">
        <v>15</v>
      </c>
      <c r="F468" t="s">
        <v>67</v>
      </c>
      <c r="G468" t="s">
        <v>68</v>
      </c>
      <c r="H468">
        <v>8</v>
      </c>
      <c r="I468">
        <v>38.28</v>
      </c>
      <c r="J468" t="s">
        <v>77</v>
      </c>
      <c r="K468" t="s">
        <v>70</v>
      </c>
      <c r="L468" t="s">
        <v>239</v>
      </c>
      <c r="M468" t="s">
        <v>72</v>
      </c>
      <c r="N468">
        <v>0.01</v>
      </c>
      <c r="O468">
        <v>1.0000000000000009E-2</v>
      </c>
      <c r="P468">
        <v>8</v>
      </c>
      <c r="Q468">
        <v>0</v>
      </c>
    </row>
    <row r="469" spans="1:17" x14ac:dyDescent="0.2">
      <c r="A469" t="s">
        <v>591</v>
      </c>
      <c r="B469" t="s">
        <v>592</v>
      </c>
      <c r="C469" t="s">
        <v>593</v>
      </c>
      <c r="D469" s="8">
        <v>43564</v>
      </c>
      <c r="E469" t="s">
        <v>97</v>
      </c>
      <c r="F469" t="s">
        <v>67</v>
      </c>
      <c r="G469" t="s">
        <v>68</v>
      </c>
      <c r="H469">
        <v>1</v>
      </c>
      <c r="I469">
        <v>67.27</v>
      </c>
      <c r="J469" t="s">
        <v>77</v>
      </c>
      <c r="K469" t="s">
        <v>70</v>
      </c>
      <c r="L469" t="s">
        <v>239</v>
      </c>
      <c r="M469" t="s">
        <v>72</v>
      </c>
      <c r="N469">
        <v>1</v>
      </c>
      <c r="O469">
        <v>0</v>
      </c>
      <c r="P469">
        <v>0</v>
      </c>
      <c r="Q469">
        <v>1</v>
      </c>
    </row>
    <row r="470" spans="1:17" x14ac:dyDescent="0.2">
      <c r="A470" t="s">
        <v>591</v>
      </c>
      <c r="B470" t="s">
        <v>592</v>
      </c>
      <c r="C470" t="s">
        <v>593</v>
      </c>
      <c r="D470" s="8">
        <v>12605969</v>
      </c>
      <c r="E470" t="s">
        <v>66</v>
      </c>
      <c r="F470" t="s">
        <v>67</v>
      </c>
      <c r="G470" t="s">
        <v>68</v>
      </c>
      <c r="H470">
        <v>1</v>
      </c>
      <c r="I470">
        <v>18.75</v>
      </c>
      <c r="J470" t="s">
        <v>77</v>
      </c>
      <c r="K470" t="s">
        <v>70</v>
      </c>
      <c r="L470" t="s">
        <v>239</v>
      </c>
      <c r="M470" t="s">
        <v>72</v>
      </c>
      <c r="N470">
        <v>0.01</v>
      </c>
      <c r="O470">
        <v>1.0000000000000009E-2</v>
      </c>
      <c r="P470">
        <v>1</v>
      </c>
      <c r="Q470">
        <v>0</v>
      </c>
    </row>
    <row r="471" spans="1:17" x14ac:dyDescent="0.2">
      <c r="A471" t="s">
        <v>591</v>
      </c>
      <c r="B471" t="s">
        <v>592</v>
      </c>
      <c r="C471" t="s">
        <v>593</v>
      </c>
      <c r="D471" s="8">
        <v>12605994</v>
      </c>
      <c r="E471" t="s">
        <v>85</v>
      </c>
      <c r="F471" t="s">
        <v>67</v>
      </c>
      <c r="G471" t="s">
        <v>68</v>
      </c>
      <c r="H471">
        <v>1</v>
      </c>
      <c r="I471">
        <v>18.75</v>
      </c>
      <c r="J471" t="s">
        <v>77</v>
      </c>
      <c r="K471" t="s">
        <v>70</v>
      </c>
      <c r="L471" t="s">
        <v>239</v>
      </c>
      <c r="M471" t="s">
        <v>72</v>
      </c>
      <c r="N471">
        <v>0.01</v>
      </c>
      <c r="O471">
        <v>1.0000000000000009E-2</v>
      </c>
      <c r="P471">
        <v>1</v>
      </c>
      <c r="Q471">
        <v>0</v>
      </c>
    </row>
    <row r="472" spans="1:17" x14ac:dyDescent="0.2">
      <c r="A472" t="s">
        <v>591</v>
      </c>
      <c r="B472" t="s">
        <v>592</v>
      </c>
      <c r="C472" t="s">
        <v>593</v>
      </c>
      <c r="D472" s="8">
        <v>12604377</v>
      </c>
      <c r="E472" t="s">
        <v>93</v>
      </c>
      <c r="F472" t="s">
        <v>67</v>
      </c>
      <c r="G472" t="s">
        <v>68</v>
      </c>
      <c r="H472">
        <v>5</v>
      </c>
      <c r="I472">
        <v>67.27</v>
      </c>
      <c r="J472" t="s">
        <v>77</v>
      </c>
      <c r="K472" t="s">
        <v>70</v>
      </c>
      <c r="L472" t="s">
        <v>239</v>
      </c>
      <c r="M472" t="s">
        <v>72</v>
      </c>
      <c r="N472">
        <v>0.03</v>
      </c>
      <c r="O472">
        <v>3.0000000000000027E-2</v>
      </c>
      <c r="P472">
        <v>5</v>
      </c>
      <c r="Q472">
        <v>0</v>
      </c>
    </row>
    <row r="473" spans="1:17" x14ac:dyDescent="0.2">
      <c r="A473" t="s">
        <v>594</v>
      </c>
      <c r="B473" t="s">
        <v>595</v>
      </c>
      <c r="C473" t="s">
        <v>596</v>
      </c>
      <c r="D473" s="8">
        <v>43564</v>
      </c>
      <c r="E473" t="s">
        <v>97</v>
      </c>
      <c r="F473" t="s">
        <v>67</v>
      </c>
      <c r="G473" t="s">
        <v>68</v>
      </c>
      <c r="H473">
        <v>1</v>
      </c>
      <c r="I473">
        <v>67.27</v>
      </c>
      <c r="J473" t="s">
        <v>77</v>
      </c>
      <c r="K473" t="s">
        <v>70</v>
      </c>
      <c r="L473" t="s">
        <v>239</v>
      </c>
      <c r="M473" t="s">
        <v>72</v>
      </c>
      <c r="N473">
        <v>1</v>
      </c>
      <c r="O473">
        <v>0</v>
      </c>
      <c r="P473">
        <v>0</v>
      </c>
      <c r="Q473">
        <v>1</v>
      </c>
    </row>
    <row r="474" spans="1:17" x14ac:dyDescent="0.2">
      <c r="A474" t="s">
        <v>594</v>
      </c>
      <c r="B474" t="s">
        <v>595</v>
      </c>
      <c r="C474" t="s">
        <v>596</v>
      </c>
      <c r="D474" s="8">
        <v>12613402</v>
      </c>
      <c r="E474" t="s">
        <v>73</v>
      </c>
      <c r="F474" t="s">
        <v>67</v>
      </c>
      <c r="G474" t="s">
        <v>68</v>
      </c>
      <c r="H474">
        <v>6</v>
      </c>
      <c r="I474">
        <v>18.32</v>
      </c>
      <c r="J474" t="s">
        <v>77</v>
      </c>
      <c r="K474" t="s">
        <v>70</v>
      </c>
      <c r="L474" t="s">
        <v>239</v>
      </c>
      <c r="M474" t="s">
        <v>72</v>
      </c>
      <c r="N474">
        <v>0.01</v>
      </c>
      <c r="O474">
        <v>1.0000000000000009E-2</v>
      </c>
      <c r="P474">
        <v>6</v>
      </c>
      <c r="Q474">
        <v>0</v>
      </c>
    </row>
    <row r="475" spans="1:17" x14ac:dyDescent="0.2">
      <c r="A475" t="s">
        <v>594</v>
      </c>
      <c r="B475" t="s">
        <v>595</v>
      </c>
      <c r="C475" t="s">
        <v>596</v>
      </c>
      <c r="D475" s="8">
        <v>12605969</v>
      </c>
      <c r="E475" t="s">
        <v>66</v>
      </c>
      <c r="F475" t="s">
        <v>67</v>
      </c>
      <c r="G475" t="s">
        <v>68</v>
      </c>
      <c r="H475">
        <v>1</v>
      </c>
      <c r="I475">
        <v>18.75</v>
      </c>
      <c r="J475" t="s">
        <v>77</v>
      </c>
      <c r="K475" t="s">
        <v>70</v>
      </c>
      <c r="L475" t="s">
        <v>239</v>
      </c>
      <c r="M475" t="s">
        <v>72</v>
      </c>
      <c r="N475">
        <v>0.01</v>
      </c>
      <c r="O475">
        <v>1.0000000000000009E-2</v>
      </c>
      <c r="P475">
        <v>1</v>
      </c>
      <c r="Q475">
        <v>0</v>
      </c>
    </row>
    <row r="476" spans="1:17" x14ac:dyDescent="0.2">
      <c r="A476" t="s">
        <v>594</v>
      </c>
      <c r="B476" t="s">
        <v>595</v>
      </c>
      <c r="C476" t="s">
        <v>596</v>
      </c>
      <c r="D476" s="8">
        <v>12605994</v>
      </c>
      <c r="E476" t="s">
        <v>85</v>
      </c>
      <c r="F476" t="s">
        <v>67</v>
      </c>
      <c r="G476" t="s">
        <v>68</v>
      </c>
      <c r="H476">
        <v>1</v>
      </c>
      <c r="I476">
        <v>18.75</v>
      </c>
      <c r="J476" t="s">
        <v>77</v>
      </c>
      <c r="K476" t="s">
        <v>70</v>
      </c>
      <c r="L476" t="s">
        <v>239</v>
      </c>
      <c r="M476" t="s">
        <v>72</v>
      </c>
      <c r="N476">
        <v>0.01</v>
      </c>
      <c r="O476">
        <v>1.0000000000000009E-2</v>
      </c>
      <c r="P476">
        <v>1</v>
      </c>
      <c r="Q476">
        <v>0</v>
      </c>
    </row>
    <row r="477" spans="1:17" x14ac:dyDescent="0.2">
      <c r="A477" t="s">
        <v>594</v>
      </c>
      <c r="B477" t="s">
        <v>595</v>
      </c>
      <c r="C477" t="s">
        <v>596</v>
      </c>
      <c r="D477" s="8">
        <v>12604377</v>
      </c>
      <c r="E477" t="s">
        <v>93</v>
      </c>
      <c r="F477" t="s">
        <v>67</v>
      </c>
      <c r="G477" t="s">
        <v>68</v>
      </c>
      <c r="H477">
        <v>5</v>
      </c>
      <c r="I477">
        <v>67.27</v>
      </c>
      <c r="J477" t="s">
        <v>77</v>
      </c>
      <c r="K477" t="s">
        <v>70</v>
      </c>
      <c r="L477" t="s">
        <v>239</v>
      </c>
      <c r="M477" t="s">
        <v>72</v>
      </c>
      <c r="N477">
        <v>0.03</v>
      </c>
      <c r="O477">
        <v>3.0000000000000027E-2</v>
      </c>
      <c r="P477">
        <v>5</v>
      </c>
      <c r="Q477">
        <v>0</v>
      </c>
    </row>
    <row r="478" spans="1:17" x14ac:dyDescent="0.2">
      <c r="A478" t="s">
        <v>597</v>
      </c>
      <c r="B478" t="s">
        <v>598</v>
      </c>
      <c r="C478" t="s">
        <v>599</v>
      </c>
      <c r="D478" s="8">
        <v>12605969</v>
      </c>
      <c r="E478" t="s">
        <v>66</v>
      </c>
      <c r="F478" t="s">
        <v>67</v>
      </c>
      <c r="G478" t="s">
        <v>68</v>
      </c>
      <c r="H478">
        <v>1</v>
      </c>
      <c r="I478">
        <v>18.75</v>
      </c>
      <c r="J478" t="s">
        <v>77</v>
      </c>
      <c r="K478" t="s">
        <v>70</v>
      </c>
      <c r="L478" t="s">
        <v>239</v>
      </c>
      <c r="M478" t="s">
        <v>72</v>
      </c>
      <c r="N478">
        <v>0.01</v>
      </c>
      <c r="O478">
        <v>1.0000000000000009E-2</v>
      </c>
      <c r="P478">
        <v>1</v>
      </c>
      <c r="Q478">
        <v>0</v>
      </c>
    </row>
    <row r="479" spans="1:17" x14ac:dyDescent="0.2">
      <c r="A479" t="s">
        <v>597</v>
      </c>
      <c r="B479" t="s">
        <v>598</v>
      </c>
      <c r="C479" t="s">
        <v>599</v>
      </c>
      <c r="D479" s="8">
        <v>12605994</v>
      </c>
      <c r="E479" t="s">
        <v>85</v>
      </c>
      <c r="F479" t="s">
        <v>67</v>
      </c>
      <c r="G479" t="s">
        <v>68</v>
      </c>
      <c r="H479">
        <v>1</v>
      </c>
      <c r="I479">
        <v>18.75</v>
      </c>
      <c r="J479" t="s">
        <v>77</v>
      </c>
      <c r="K479" t="s">
        <v>70</v>
      </c>
      <c r="L479" t="s">
        <v>239</v>
      </c>
      <c r="M479" t="s">
        <v>72</v>
      </c>
      <c r="N479">
        <v>0.01</v>
      </c>
      <c r="O479">
        <v>1.0000000000000009E-2</v>
      </c>
      <c r="P479">
        <v>1</v>
      </c>
      <c r="Q479">
        <v>0</v>
      </c>
    </row>
    <row r="480" spans="1:17" x14ac:dyDescent="0.2">
      <c r="A480" t="s">
        <v>597</v>
      </c>
      <c r="B480" t="s">
        <v>598</v>
      </c>
      <c r="C480" t="s">
        <v>599</v>
      </c>
      <c r="D480" s="8">
        <v>12623528</v>
      </c>
      <c r="E480" t="s">
        <v>274</v>
      </c>
      <c r="F480" t="s">
        <v>67</v>
      </c>
      <c r="G480" t="s">
        <v>68</v>
      </c>
      <c r="H480">
        <v>16</v>
      </c>
      <c r="I480">
        <v>225.09</v>
      </c>
      <c r="J480" t="s">
        <v>77</v>
      </c>
      <c r="K480" t="s">
        <v>70</v>
      </c>
      <c r="L480" t="s">
        <v>239</v>
      </c>
      <c r="M480" t="s">
        <v>72</v>
      </c>
      <c r="N480">
        <v>0.08</v>
      </c>
      <c r="O480">
        <v>8.0000000000000071E-2</v>
      </c>
      <c r="P480">
        <v>16</v>
      </c>
      <c r="Q480">
        <v>0</v>
      </c>
    </row>
    <row r="481" spans="1:17" x14ac:dyDescent="0.2">
      <c r="A481" t="s">
        <v>600</v>
      </c>
      <c r="B481" t="s">
        <v>601</v>
      </c>
      <c r="C481" t="s">
        <v>602</v>
      </c>
      <c r="D481" s="8">
        <v>12436421</v>
      </c>
      <c r="E481" t="s">
        <v>6</v>
      </c>
      <c r="F481" t="s">
        <v>67</v>
      </c>
      <c r="G481" t="s">
        <v>68</v>
      </c>
      <c r="H481">
        <v>8</v>
      </c>
      <c r="I481">
        <v>85.97</v>
      </c>
      <c r="J481" t="s">
        <v>77</v>
      </c>
      <c r="K481" t="s">
        <v>70</v>
      </c>
      <c r="L481" t="s">
        <v>239</v>
      </c>
      <c r="M481" t="s">
        <v>72</v>
      </c>
      <c r="N481">
        <v>0.04</v>
      </c>
      <c r="O481">
        <v>4.0000000000000036E-2</v>
      </c>
      <c r="P481">
        <v>8</v>
      </c>
      <c r="Q481">
        <v>0</v>
      </c>
    </row>
    <row r="482" spans="1:17" x14ac:dyDescent="0.2">
      <c r="A482" t="s">
        <v>603</v>
      </c>
      <c r="B482" t="s">
        <v>604</v>
      </c>
      <c r="C482" t="s">
        <v>605</v>
      </c>
      <c r="D482" s="8">
        <v>12575101</v>
      </c>
      <c r="E482" t="s">
        <v>9</v>
      </c>
      <c r="F482" t="s">
        <v>67</v>
      </c>
      <c r="G482" t="s">
        <v>68</v>
      </c>
      <c r="H482">
        <v>1</v>
      </c>
      <c r="I482">
        <v>239.34</v>
      </c>
      <c r="J482" t="s">
        <v>77</v>
      </c>
      <c r="K482" t="s">
        <v>70</v>
      </c>
      <c r="L482" t="s">
        <v>239</v>
      </c>
      <c r="M482" t="s">
        <v>72</v>
      </c>
      <c r="N482">
        <v>0.06</v>
      </c>
      <c r="O482">
        <v>6.0000000000000053E-2</v>
      </c>
      <c r="P482">
        <v>1</v>
      </c>
      <c r="Q482">
        <v>0</v>
      </c>
    </row>
    <row r="483" spans="1:17" x14ac:dyDescent="0.2">
      <c r="A483" t="s">
        <v>606</v>
      </c>
      <c r="B483" t="s">
        <v>604</v>
      </c>
      <c r="C483" t="s">
        <v>605</v>
      </c>
      <c r="D483" s="8">
        <v>12436421</v>
      </c>
      <c r="E483" t="s">
        <v>6</v>
      </c>
      <c r="F483" t="s">
        <v>67</v>
      </c>
      <c r="G483" t="s">
        <v>68</v>
      </c>
      <c r="H483">
        <v>8</v>
      </c>
      <c r="I483">
        <v>85.97</v>
      </c>
      <c r="J483" t="s">
        <v>77</v>
      </c>
      <c r="K483" t="s">
        <v>70</v>
      </c>
      <c r="L483" t="s">
        <v>239</v>
      </c>
      <c r="M483" t="s">
        <v>72</v>
      </c>
      <c r="N483">
        <v>0.04</v>
      </c>
      <c r="O483">
        <v>4.0000000000000036E-2</v>
      </c>
      <c r="P483">
        <v>8</v>
      </c>
      <c r="Q483">
        <v>0</v>
      </c>
    </row>
    <row r="484" spans="1:17" x14ac:dyDescent="0.2">
      <c r="A484" t="s">
        <v>607</v>
      </c>
      <c r="B484" t="s">
        <v>608</v>
      </c>
      <c r="C484" t="s">
        <v>609</v>
      </c>
      <c r="D484" s="8">
        <v>12436421</v>
      </c>
      <c r="E484" t="s">
        <v>6</v>
      </c>
      <c r="F484" t="s">
        <v>67</v>
      </c>
      <c r="G484" t="s">
        <v>68</v>
      </c>
      <c r="H484">
        <v>8</v>
      </c>
      <c r="I484">
        <v>85.97</v>
      </c>
      <c r="J484" t="s">
        <v>77</v>
      </c>
      <c r="K484" t="s">
        <v>70</v>
      </c>
      <c r="L484" t="s">
        <v>239</v>
      </c>
      <c r="M484" t="s">
        <v>72</v>
      </c>
      <c r="N484">
        <v>0.04</v>
      </c>
      <c r="O484">
        <v>4.0000000000000036E-2</v>
      </c>
      <c r="P484">
        <v>8</v>
      </c>
      <c r="Q484">
        <v>0</v>
      </c>
    </row>
    <row r="485" spans="1:17" x14ac:dyDescent="0.2">
      <c r="A485" t="s">
        <v>610</v>
      </c>
      <c r="B485" t="s">
        <v>611</v>
      </c>
      <c r="C485" t="s">
        <v>612</v>
      </c>
      <c r="D485" s="8">
        <v>12436421</v>
      </c>
      <c r="E485" t="s">
        <v>6</v>
      </c>
      <c r="F485" t="s">
        <v>67</v>
      </c>
      <c r="G485" t="s">
        <v>68</v>
      </c>
      <c r="H485">
        <v>8</v>
      </c>
      <c r="I485">
        <v>85.97</v>
      </c>
      <c r="J485" t="s">
        <v>77</v>
      </c>
      <c r="K485" t="s">
        <v>70</v>
      </c>
      <c r="L485" t="s">
        <v>239</v>
      </c>
      <c r="M485" t="s">
        <v>72</v>
      </c>
      <c r="N485">
        <v>0.04</v>
      </c>
      <c r="O485">
        <v>4.0000000000000036E-2</v>
      </c>
      <c r="P485">
        <v>8</v>
      </c>
      <c r="Q485">
        <v>0</v>
      </c>
    </row>
    <row r="486" spans="1:17" x14ac:dyDescent="0.2">
      <c r="A486" t="s">
        <v>613</v>
      </c>
      <c r="B486" t="s">
        <v>614</v>
      </c>
      <c r="C486" t="s">
        <v>615</v>
      </c>
      <c r="D486" s="8">
        <v>43564</v>
      </c>
      <c r="E486" t="s">
        <v>97</v>
      </c>
      <c r="F486" t="s">
        <v>67</v>
      </c>
      <c r="G486" t="s">
        <v>68</v>
      </c>
      <c r="H486">
        <v>2</v>
      </c>
      <c r="I486">
        <v>134.53</v>
      </c>
      <c r="J486" t="s">
        <v>78</v>
      </c>
      <c r="K486" t="s">
        <v>70</v>
      </c>
      <c r="L486" t="s">
        <v>239</v>
      </c>
      <c r="M486" t="s">
        <v>72</v>
      </c>
      <c r="N486">
        <v>2</v>
      </c>
      <c r="O486">
        <v>0</v>
      </c>
      <c r="P486">
        <v>0</v>
      </c>
      <c r="Q486">
        <v>2</v>
      </c>
    </row>
    <row r="487" spans="1:17" x14ac:dyDescent="0.2">
      <c r="A487" t="s">
        <v>616</v>
      </c>
      <c r="B487" t="s">
        <v>617</v>
      </c>
      <c r="C487" t="s">
        <v>618</v>
      </c>
      <c r="D487" s="8">
        <v>43564</v>
      </c>
      <c r="E487" t="s">
        <v>97</v>
      </c>
      <c r="F487" t="s">
        <v>67</v>
      </c>
      <c r="G487" t="s">
        <v>68</v>
      </c>
      <c r="H487">
        <v>2</v>
      </c>
      <c r="I487">
        <v>134.53</v>
      </c>
      <c r="J487" t="s">
        <v>78</v>
      </c>
      <c r="K487" t="s">
        <v>70</v>
      </c>
      <c r="L487" t="s">
        <v>239</v>
      </c>
      <c r="M487" t="s">
        <v>72</v>
      </c>
      <c r="N487">
        <v>2</v>
      </c>
      <c r="O487">
        <v>0</v>
      </c>
      <c r="P487">
        <v>0</v>
      </c>
      <c r="Q487">
        <v>2</v>
      </c>
    </row>
    <row r="488" spans="1:17" x14ac:dyDescent="0.2">
      <c r="A488" t="s">
        <v>616</v>
      </c>
      <c r="B488" t="s">
        <v>617</v>
      </c>
      <c r="C488" t="s">
        <v>618</v>
      </c>
      <c r="D488" s="8">
        <v>13123548</v>
      </c>
      <c r="E488" t="s">
        <v>109</v>
      </c>
      <c r="F488" t="s">
        <v>67</v>
      </c>
      <c r="G488" t="s">
        <v>68</v>
      </c>
      <c r="H488">
        <v>2</v>
      </c>
      <c r="I488">
        <v>192.65</v>
      </c>
      <c r="J488" t="s">
        <v>78</v>
      </c>
      <c r="K488" t="s">
        <v>70</v>
      </c>
      <c r="L488" t="s">
        <v>239</v>
      </c>
      <c r="M488" t="s">
        <v>72</v>
      </c>
      <c r="N488">
        <v>0.05</v>
      </c>
      <c r="O488">
        <v>5.0000000000000044E-2</v>
      </c>
      <c r="P488">
        <v>2</v>
      </c>
      <c r="Q488">
        <v>0</v>
      </c>
    </row>
    <row r="489" spans="1:17" x14ac:dyDescent="0.2">
      <c r="A489" t="s">
        <v>619</v>
      </c>
      <c r="B489" t="s">
        <v>620</v>
      </c>
      <c r="C489" t="s">
        <v>621</v>
      </c>
      <c r="D489" s="8">
        <v>43564</v>
      </c>
      <c r="E489" t="s">
        <v>97</v>
      </c>
      <c r="F489" t="s">
        <v>67</v>
      </c>
      <c r="G489" t="s">
        <v>68</v>
      </c>
      <c r="H489">
        <v>2</v>
      </c>
      <c r="I489">
        <v>134.53</v>
      </c>
      <c r="J489" t="s">
        <v>78</v>
      </c>
      <c r="K489" t="s">
        <v>70</v>
      </c>
      <c r="L489" t="s">
        <v>239</v>
      </c>
      <c r="M489" t="s">
        <v>72</v>
      </c>
      <c r="N489">
        <v>2</v>
      </c>
      <c r="O489">
        <v>0</v>
      </c>
      <c r="P489">
        <v>0</v>
      </c>
      <c r="Q489">
        <v>2</v>
      </c>
    </row>
    <row r="490" spans="1:17" x14ac:dyDescent="0.2">
      <c r="A490" t="s">
        <v>622</v>
      </c>
      <c r="B490" t="s">
        <v>623</v>
      </c>
      <c r="C490" t="s">
        <v>624</v>
      </c>
      <c r="D490" s="8">
        <v>12599975</v>
      </c>
      <c r="E490" t="s">
        <v>236</v>
      </c>
      <c r="F490" t="s">
        <v>67</v>
      </c>
      <c r="G490" t="s">
        <v>68</v>
      </c>
      <c r="H490">
        <v>10</v>
      </c>
      <c r="I490">
        <v>1074.6400000000001</v>
      </c>
      <c r="J490" t="s">
        <v>78</v>
      </c>
      <c r="K490" t="s">
        <v>70</v>
      </c>
      <c r="L490" t="s">
        <v>239</v>
      </c>
      <c r="M490" t="s">
        <v>72</v>
      </c>
      <c r="N490">
        <v>0.59</v>
      </c>
      <c r="O490">
        <v>0.58999999999999986</v>
      </c>
      <c r="P490">
        <v>10</v>
      </c>
      <c r="Q490">
        <v>0</v>
      </c>
    </row>
    <row r="491" spans="1:17" x14ac:dyDescent="0.2">
      <c r="A491" t="s">
        <v>622</v>
      </c>
      <c r="B491" t="s">
        <v>623</v>
      </c>
      <c r="C491" t="s">
        <v>624</v>
      </c>
      <c r="D491" s="8">
        <v>12589940</v>
      </c>
      <c r="E491" t="s">
        <v>81</v>
      </c>
      <c r="F491" t="s">
        <v>67</v>
      </c>
      <c r="G491" t="s">
        <v>68</v>
      </c>
      <c r="H491">
        <v>1</v>
      </c>
      <c r="I491">
        <v>182.77</v>
      </c>
      <c r="J491" t="s">
        <v>78</v>
      </c>
      <c r="K491" t="s">
        <v>70</v>
      </c>
      <c r="L491" t="s">
        <v>239</v>
      </c>
      <c r="M491" t="s">
        <v>72</v>
      </c>
      <c r="N491">
        <v>0.06</v>
      </c>
      <c r="O491">
        <v>6.0000000000000053E-2</v>
      </c>
      <c r="P491">
        <v>1</v>
      </c>
      <c r="Q491">
        <v>0</v>
      </c>
    </row>
    <row r="492" spans="1:17" x14ac:dyDescent="0.2">
      <c r="A492" t="s">
        <v>622</v>
      </c>
      <c r="B492" t="s">
        <v>623</v>
      </c>
      <c r="C492" t="s">
        <v>624</v>
      </c>
      <c r="D492" s="8">
        <v>12623528</v>
      </c>
      <c r="E492" t="s">
        <v>274</v>
      </c>
      <c r="F492" t="s">
        <v>67</v>
      </c>
      <c r="G492" t="s">
        <v>68</v>
      </c>
      <c r="H492">
        <v>30</v>
      </c>
      <c r="I492">
        <v>422.04</v>
      </c>
      <c r="J492" t="s">
        <v>78</v>
      </c>
      <c r="K492" t="s">
        <v>70</v>
      </c>
      <c r="L492" t="s">
        <v>239</v>
      </c>
      <c r="M492" t="s">
        <v>72</v>
      </c>
      <c r="N492">
        <v>0.16</v>
      </c>
      <c r="O492">
        <v>0.15999999999999992</v>
      </c>
      <c r="P492">
        <v>30</v>
      </c>
      <c r="Q492">
        <v>0</v>
      </c>
    </row>
    <row r="493" spans="1:17" x14ac:dyDescent="0.2">
      <c r="A493" t="s">
        <v>622</v>
      </c>
      <c r="B493" t="s">
        <v>623</v>
      </c>
      <c r="C493" t="s">
        <v>624</v>
      </c>
      <c r="D493" s="8">
        <v>12604368</v>
      </c>
      <c r="E493" t="s">
        <v>74</v>
      </c>
      <c r="F493" t="s">
        <v>67</v>
      </c>
      <c r="G493" t="s">
        <v>68</v>
      </c>
      <c r="H493">
        <v>100</v>
      </c>
      <c r="I493">
        <v>1345.36</v>
      </c>
      <c r="J493" t="s">
        <v>78</v>
      </c>
      <c r="K493" t="s">
        <v>70</v>
      </c>
      <c r="L493" t="s">
        <v>239</v>
      </c>
      <c r="M493" t="s">
        <v>72</v>
      </c>
      <c r="N493">
        <v>0.5</v>
      </c>
      <c r="O493">
        <v>0.5</v>
      </c>
      <c r="P493">
        <v>100</v>
      </c>
      <c r="Q493">
        <v>0</v>
      </c>
    </row>
    <row r="494" spans="1:17" x14ac:dyDescent="0.2">
      <c r="A494" t="s">
        <v>622</v>
      </c>
      <c r="B494" t="s">
        <v>623</v>
      </c>
      <c r="C494" t="s">
        <v>624</v>
      </c>
      <c r="D494" s="8">
        <v>12604369</v>
      </c>
      <c r="E494" t="s">
        <v>316</v>
      </c>
      <c r="F494" t="s">
        <v>67</v>
      </c>
      <c r="G494" t="s">
        <v>68</v>
      </c>
      <c r="H494">
        <v>70</v>
      </c>
      <c r="I494">
        <v>941.75</v>
      </c>
      <c r="J494" t="s">
        <v>78</v>
      </c>
      <c r="K494" t="s">
        <v>70</v>
      </c>
      <c r="L494" t="s">
        <v>239</v>
      </c>
      <c r="M494" t="s">
        <v>72</v>
      </c>
      <c r="N494">
        <v>0.35</v>
      </c>
      <c r="O494">
        <v>0.35000000000000009</v>
      </c>
      <c r="P494">
        <v>70</v>
      </c>
      <c r="Q494">
        <v>0</v>
      </c>
    </row>
    <row r="495" spans="1:17" x14ac:dyDescent="0.2">
      <c r="A495" t="s">
        <v>622</v>
      </c>
      <c r="B495" t="s">
        <v>623</v>
      </c>
      <c r="C495" t="s">
        <v>624</v>
      </c>
      <c r="D495" s="8">
        <v>12455866</v>
      </c>
      <c r="E495" t="s">
        <v>136</v>
      </c>
      <c r="F495" t="s">
        <v>67</v>
      </c>
      <c r="G495" t="s">
        <v>68</v>
      </c>
      <c r="H495">
        <v>6</v>
      </c>
      <c r="I495">
        <v>219.88</v>
      </c>
      <c r="J495" t="s">
        <v>78</v>
      </c>
      <c r="K495" t="s">
        <v>70</v>
      </c>
      <c r="L495" t="s">
        <v>239</v>
      </c>
      <c r="M495" t="s">
        <v>72</v>
      </c>
      <c r="N495">
        <v>0.25</v>
      </c>
      <c r="O495">
        <v>0.25</v>
      </c>
      <c r="P495">
        <v>6</v>
      </c>
      <c r="Q495">
        <v>0</v>
      </c>
    </row>
    <row r="496" spans="1:17" x14ac:dyDescent="0.2">
      <c r="A496" t="s">
        <v>622</v>
      </c>
      <c r="B496" t="s">
        <v>623</v>
      </c>
      <c r="C496" t="s">
        <v>624</v>
      </c>
      <c r="D496" s="8">
        <v>12592549</v>
      </c>
      <c r="E496" t="s">
        <v>38</v>
      </c>
      <c r="F496" t="s">
        <v>67</v>
      </c>
      <c r="G496" t="s">
        <v>68</v>
      </c>
      <c r="H496">
        <v>12</v>
      </c>
      <c r="I496">
        <v>815.55</v>
      </c>
      <c r="J496" t="s">
        <v>78</v>
      </c>
      <c r="K496" t="s">
        <v>70</v>
      </c>
      <c r="L496" t="s">
        <v>239</v>
      </c>
      <c r="M496" t="s">
        <v>72</v>
      </c>
      <c r="N496">
        <v>0.5</v>
      </c>
      <c r="O496">
        <v>0.5</v>
      </c>
      <c r="P496">
        <v>12</v>
      </c>
      <c r="Q496">
        <v>0</v>
      </c>
    </row>
    <row r="497" spans="1:17" x14ac:dyDescent="0.2">
      <c r="A497" t="s">
        <v>622</v>
      </c>
      <c r="B497" t="s">
        <v>623</v>
      </c>
      <c r="C497" t="s">
        <v>624</v>
      </c>
      <c r="D497" s="8">
        <v>12454174</v>
      </c>
      <c r="E497" t="s">
        <v>40</v>
      </c>
      <c r="F497" t="s">
        <v>67</v>
      </c>
      <c r="G497" t="s">
        <v>68</v>
      </c>
      <c r="H497">
        <v>10</v>
      </c>
      <c r="I497">
        <v>234.01</v>
      </c>
      <c r="J497" t="s">
        <v>78</v>
      </c>
      <c r="K497" t="s">
        <v>70</v>
      </c>
      <c r="L497" t="s">
        <v>239</v>
      </c>
      <c r="M497" t="s">
        <v>72</v>
      </c>
      <c r="N497">
        <v>0.31</v>
      </c>
      <c r="O497">
        <v>0.31000000000000005</v>
      </c>
      <c r="P497">
        <v>10</v>
      </c>
      <c r="Q497">
        <v>0</v>
      </c>
    </row>
    <row r="498" spans="1:17" x14ac:dyDescent="0.2">
      <c r="A498" t="s">
        <v>622</v>
      </c>
      <c r="B498" t="s">
        <v>623</v>
      </c>
      <c r="C498" t="s">
        <v>624</v>
      </c>
      <c r="D498" s="8">
        <v>12555739</v>
      </c>
      <c r="E498" t="s">
        <v>277</v>
      </c>
      <c r="F498" t="s">
        <v>67</v>
      </c>
      <c r="G498" t="s">
        <v>68</v>
      </c>
      <c r="H498">
        <v>12</v>
      </c>
      <c r="I498">
        <v>320.79000000000002</v>
      </c>
      <c r="J498" t="s">
        <v>78</v>
      </c>
      <c r="K498" t="s">
        <v>70</v>
      </c>
      <c r="L498" t="s">
        <v>239</v>
      </c>
      <c r="M498" t="s">
        <v>72</v>
      </c>
      <c r="N498">
        <v>0.38</v>
      </c>
      <c r="O498">
        <v>0.37999999999999989</v>
      </c>
      <c r="P498">
        <v>12</v>
      </c>
      <c r="Q498">
        <v>0</v>
      </c>
    </row>
    <row r="499" spans="1:17" x14ac:dyDescent="0.2">
      <c r="A499" t="s">
        <v>622</v>
      </c>
      <c r="B499" t="s">
        <v>623</v>
      </c>
      <c r="C499" t="s">
        <v>624</v>
      </c>
      <c r="D499" s="8">
        <v>12618899</v>
      </c>
      <c r="E499" t="s">
        <v>76</v>
      </c>
      <c r="F499" t="s">
        <v>67</v>
      </c>
      <c r="G499" t="s">
        <v>68</v>
      </c>
      <c r="H499">
        <v>20</v>
      </c>
      <c r="I499">
        <v>440.14</v>
      </c>
      <c r="J499" t="s">
        <v>78</v>
      </c>
      <c r="K499" t="s">
        <v>70</v>
      </c>
      <c r="L499" t="s">
        <v>239</v>
      </c>
      <c r="M499" t="s">
        <v>72</v>
      </c>
      <c r="N499">
        <v>0.56000000000000005</v>
      </c>
      <c r="O499">
        <v>0.56000000000000005</v>
      </c>
      <c r="P499">
        <v>20</v>
      </c>
      <c r="Q499">
        <v>0</v>
      </c>
    </row>
    <row r="500" spans="1:17" x14ac:dyDescent="0.2">
      <c r="A500" t="s">
        <v>622</v>
      </c>
      <c r="B500" t="s">
        <v>623</v>
      </c>
      <c r="C500" t="s">
        <v>624</v>
      </c>
      <c r="D500" s="8">
        <v>12452538</v>
      </c>
      <c r="E500" t="s">
        <v>625</v>
      </c>
      <c r="F500" t="s">
        <v>67</v>
      </c>
      <c r="G500" t="s">
        <v>68</v>
      </c>
      <c r="H500">
        <v>10</v>
      </c>
      <c r="I500">
        <v>147.72999999999999</v>
      </c>
      <c r="J500" t="s">
        <v>78</v>
      </c>
      <c r="K500" t="s">
        <v>70</v>
      </c>
      <c r="L500" t="s">
        <v>239</v>
      </c>
      <c r="M500" t="s">
        <v>72</v>
      </c>
      <c r="N500">
        <v>0.17</v>
      </c>
      <c r="O500">
        <v>0.16999999999999993</v>
      </c>
      <c r="P500">
        <v>10</v>
      </c>
      <c r="Q500">
        <v>0</v>
      </c>
    </row>
    <row r="501" spans="1:17" x14ac:dyDescent="0.2">
      <c r="A501" t="s">
        <v>622</v>
      </c>
      <c r="B501" t="s">
        <v>623</v>
      </c>
      <c r="C501" t="s">
        <v>624</v>
      </c>
      <c r="D501" s="8">
        <v>12612370</v>
      </c>
      <c r="E501" t="s">
        <v>88</v>
      </c>
      <c r="F501" t="s">
        <v>67</v>
      </c>
      <c r="G501" t="s">
        <v>68</v>
      </c>
      <c r="H501">
        <v>20</v>
      </c>
      <c r="I501">
        <v>270.63</v>
      </c>
      <c r="J501" t="s">
        <v>78</v>
      </c>
      <c r="K501" t="s">
        <v>70</v>
      </c>
      <c r="L501" t="s">
        <v>239</v>
      </c>
      <c r="M501" t="s">
        <v>72</v>
      </c>
      <c r="N501">
        <v>0.33</v>
      </c>
      <c r="O501">
        <v>0.33000000000000007</v>
      </c>
      <c r="P501">
        <v>20</v>
      </c>
      <c r="Q501">
        <v>0</v>
      </c>
    </row>
    <row r="502" spans="1:17" x14ac:dyDescent="0.2">
      <c r="A502" t="s">
        <v>626</v>
      </c>
      <c r="B502" t="s">
        <v>623</v>
      </c>
      <c r="C502" t="s">
        <v>624</v>
      </c>
      <c r="D502" s="8">
        <v>43564</v>
      </c>
      <c r="E502" t="s">
        <v>97</v>
      </c>
      <c r="F502" t="s">
        <v>67</v>
      </c>
      <c r="G502" t="s">
        <v>68</v>
      </c>
      <c r="H502">
        <v>2</v>
      </c>
      <c r="I502">
        <v>134.53</v>
      </c>
      <c r="J502" t="s">
        <v>78</v>
      </c>
      <c r="K502" t="s">
        <v>70</v>
      </c>
      <c r="L502" t="s">
        <v>239</v>
      </c>
      <c r="M502" t="s">
        <v>72</v>
      </c>
      <c r="N502">
        <v>2</v>
      </c>
      <c r="O502">
        <v>0</v>
      </c>
      <c r="P502">
        <v>0</v>
      </c>
      <c r="Q502">
        <v>2</v>
      </c>
    </row>
    <row r="503" spans="1:17" x14ac:dyDescent="0.2">
      <c r="A503" t="s">
        <v>626</v>
      </c>
      <c r="B503" t="s">
        <v>623</v>
      </c>
      <c r="C503" t="s">
        <v>624</v>
      </c>
      <c r="D503" s="8">
        <v>12613402</v>
      </c>
      <c r="E503" t="s">
        <v>73</v>
      </c>
      <c r="F503" t="s">
        <v>67</v>
      </c>
      <c r="G503" t="s">
        <v>68</v>
      </c>
      <c r="H503">
        <v>6</v>
      </c>
      <c r="I503">
        <v>18.32</v>
      </c>
      <c r="J503" t="s">
        <v>78</v>
      </c>
      <c r="K503" t="s">
        <v>70</v>
      </c>
      <c r="L503" t="s">
        <v>239</v>
      </c>
      <c r="M503" t="s">
        <v>72</v>
      </c>
      <c r="N503">
        <v>0.01</v>
      </c>
      <c r="O503">
        <v>1.0000000000000009E-2</v>
      </c>
      <c r="P503">
        <v>6</v>
      </c>
      <c r="Q503">
        <v>0</v>
      </c>
    </row>
    <row r="504" spans="1:17" x14ac:dyDescent="0.2">
      <c r="A504" t="s">
        <v>626</v>
      </c>
      <c r="B504" t="s">
        <v>623</v>
      </c>
      <c r="C504" t="s">
        <v>624</v>
      </c>
      <c r="D504" s="8">
        <v>12436421</v>
      </c>
      <c r="E504" t="s">
        <v>6</v>
      </c>
      <c r="F504" t="s">
        <v>67</v>
      </c>
      <c r="G504" t="s">
        <v>68</v>
      </c>
      <c r="H504">
        <v>4</v>
      </c>
      <c r="I504">
        <v>42.99</v>
      </c>
      <c r="J504" t="s">
        <v>78</v>
      </c>
      <c r="K504" t="s">
        <v>70</v>
      </c>
      <c r="L504" t="s">
        <v>239</v>
      </c>
      <c r="M504" t="s">
        <v>72</v>
      </c>
      <c r="N504">
        <v>0.02</v>
      </c>
      <c r="O504">
        <v>2.0000000000000018E-2</v>
      </c>
      <c r="P504">
        <v>4</v>
      </c>
      <c r="Q504">
        <v>0</v>
      </c>
    </row>
    <row r="505" spans="1:17" x14ac:dyDescent="0.2">
      <c r="A505" t="s">
        <v>627</v>
      </c>
      <c r="B505" t="s">
        <v>628</v>
      </c>
      <c r="C505" t="s">
        <v>629</v>
      </c>
      <c r="D505" s="8">
        <v>12613402</v>
      </c>
      <c r="E505" t="s">
        <v>73</v>
      </c>
      <c r="F505" t="s">
        <v>67</v>
      </c>
      <c r="G505" t="s">
        <v>68</v>
      </c>
      <c r="H505">
        <v>48</v>
      </c>
      <c r="I505">
        <v>146.63</v>
      </c>
      <c r="J505" t="s">
        <v>78</v>
      </c>
      <c r="K505" t="s">
        <v>70</v>
      </c>
      <c r="L505" t="s">
        <v>239</v>
      </c>
      <c r="M505" t="s">
        <v>72</v>
      </c>
      <c r="N505">
        <v>0.05</v>
      </c>
      <c r="O505">
        <v>5.0000000000000044E-2</v>
      </c>
      <c r="P505">
        <v>48</v>
      </c>
      <c r="Q505">
        <v>0</v>
      </c>
    </row>
    <row r="506" spans="1:17" x14ac:dyDescent="0.2">
      <c r="A506" t="s">
        <v>627</v>
      </c>
      <c r="B506" t="s">
        <v>628</v>
      </c>
      <c r="C506" t="s">
        <v>629</v>
      </c>
      <c r="D506" s="8">
        <v>12528213</v>
      </c>
      <c r="E506" t="s">
        <v>4</v>
      </c>
      <c r="F506" t="s">
        <v>67</v>
      </c>
      <c r="G506" t="s">
        <v>68</v>
      </c>
      <c r="H506">
        <v>5</v>
      </c>
      <c r="I506">
        <v>1197.55</v>
      </c>
      <c r="J506" t="s">
        <v>78</v>
      </c>
      <c r="K506" t="s">
        <v>70</v>
      </c>
      <c r="L506" t="s">
        <v>239</v>
      </c>
      <c r="M506" t="s">
        <v>72</v>
      </c>
      <c r="N506">
        <v>0.36</v>
      </c>
      <c r="O506">
        <v>0.35999999999999988</v>
      </c>
      <c r="P506">
        <v>5</v>
      </c>
      <c r="Q506">
        <v>0</v>
      </c>
    </row>
    <row r="507" spans="1:17" x14ac:dyDescent="0.2">
      <c r="A507" t="s">
        <v>627</v>
      </c>
      <c r="B507" t="s">
        <v>628</v>
      </c>
      <c r="C507" t="s">
        <v>629</v>
      </c>
      <c r="D507" s="8">
        <v>12605969</v>
      </c>
      <c r="E507" t="s">
        <v>66</v>
      </c>
      <c r="F507" t="s">
        <v>67</v>
      </c>
      <c r="G507" t="s">
        <v>68</v>
      </c>
      <c r="H507">
        <v>2</v>
      </c>
      <c r="I507">
        <v>37.5</v>
      </c>
      <c r="J507" t="s">
        <v>78</v>
      </c>
      <c r="K507" t="s">
        <v>70</v>
      </c>
      <c r="L507" t="s">
        <v>239</v>
      </c>
      <c r="M507" t="s">
        <v>72</v>
      </c>
      <c r="N507">
        <v>0.01</v>
      </c>
      <c r="O507">
        <v>1.0000000000000009E-2</v>
      </c>
      <c r="P507">
        <v>2</v>
      </c>
      <c r="Q507">
        <v>0</v>
      </c>
    </row>
    <row r="508" spans="1:17" x14ac:dyDescent="0.2">
      <c r="A508" t="s">
        <v>627</v>
      </c>
      <c r="B508" t="s">
        <v>628</v>
      </c>
      <c r="C508" t="s">
        <v>629</v>
      </c>
      <c r="D508" s="8">
        <v>12436421</v>
      </c>
      <c r="E508" t="s">
        <v>6</v>
      </c>
      <c r="F508" t="s">
        <v>67</v>
      </c>
      <c r="G508" t="s">
        <v>68</v>
      </c>
      <c r="H508">
        <v>8</v>
      </c>
      <c r="I508">
        <v>85.97</v>
      </c>
      <c r="J508" t="s">
        <v>78</v>
      </c>
      <c r="K508" t="s">
        <v>70</v>
      </c>
      <c r="L508" t="s">
        <v>239</v>
      </c>
      <c r="M508" t="s">
        <v>72</v>
      </c>
      <c r="N508">
        <v>0.04</v>
      </c>
      <c r="O508">
        <v>4.0000000000000036E-2</v>
      </c>
      <c r="P508">
        <v>8</v>
      </c>
      <c r="Q508">
        <v>0</v>
      </c>
    </row>
    <row r="509" spans="1:17" x14ac:dyDescent="0.2">
      <c r="A509" t="s">
        <v>627</v>
      </c>
      <c r="B509" t="s">
        <v>628</v>
      </c>
      <c r="C509" t="s">
        <v>629</v>
      </c>
      <c r="D509" s="8">
        <v>12604367</v>
      </c>
      <c r="E509" t="s">
        <v>82</v>
      </c>
      <c r="F509" t="s">
        <v>67</v>
      </c>
      <c r="G509" t="s">
        <v>68</v>
      </c>
      <c r="H509">
        <v>30</v>
      </c>
      <c r="I509">
        <v>248.36</v>
      </c>
      <c r="J509" t="s">
        <v>78</v>
      </c>
      <c r="K509" t="s">
        <v>70</v>
      </c>
      <c r="L509" t="s">
        <v>239</v>
      </c>
      <c r="M509" t="s">
        <v>72</v>
      </c>
      <c r="N509">
        <v>0.13</v>
      </c>
      <c r="O509">
        <v>0.12999999999999989</v>
      </c>
      <c r="P509">
        <v>30</v>
      </c>
      <c r="Q509">
        <v>0</v>
      </c>
    </row>
    <row r="510" spans="1:17" x14ac:dyDescent="0.2">
      <c r="A510" t="s">
        <v>627</v>
      </c>
      <c r="B510" t="s">
        <v>628</v>
      </c>
      <c r="C510" t="s">
        <v>629</v>
      </c>
      <c r="D510" s="8">
        <v>12575127</v>
      </c>
      <c r="E510" t="s">
        <v>13</v>
      </c>
      <c r="F510" t="s">
        <v>67</v>
      </c>
      <c r="G510" t="s">
        <v>68</v>
      </c>
      <c r="H510">
        <v>12</v>
      </c>
      <c r="I510">
        <v>103.97</v>
      </c>
      <c r="J510" t="s">
        <v>78</v>
      </c>
      <c r="K510" t="s">
        <v>70</v>
      </c>
      <c r="L510" t="s">
        <v>239</v>
      </c>
      <c r="M510" t="s">
        <v>72</v>
      </c>
      <c r="N510">
        <v>0.02</v>
      </c>
      <c r="O510">
        <v>2.0000000000000018E-2</v>
      </c>
      <c r="P510">
        <v>12</v>
      </c>
      <c r="Q510">
        <v>0</v>
      </c>
    </row>
    <row r="511" spans="1:17" x14ac:dyDescent="0.2">
      <c r="A511" t="s">
        <v>630</v>
      </c>
      <c r="B511" t="s">
        <v>631</v>
      </c>
      <c r="C511" t="s">
        <v>632</v>
      </c>
      <c r="D511" s="8">
        <v>12613402</v>
      </c>
      <c r="E511" t="s">
        <v>73</v>
      </c>
      <c r="F511" t="s">
        <v>67</v>
      </c>
      <c r="G511" t="s">
        <v>68</v>
      </c>
      <c r="H511">
        <v>48</v>
      </c>
      <c r="I511">
        <v>146.63</v>
      </c>
      <c r="J511" t="s">
        <v>78</v>
      </c>
      <c r="K511" t="s">
        <v>70</v>
      </c>
      <c r="L511" t="s">
        <v>239</v>
      </c>
      <c r="M511" t="s">
        <v>72</v>
      </c>
      <c r="N511">
        <v>0.05</v>
      </c>
      <c r="O511">
        <v>5.0000000000000044E-2</v>
      </c>
      <c r="P511">
        <v>48</v>
      </c>
      <c r="Q511">
        <v>0</v>
      </c>
    </row>
    <row r="512" spans="1:17" x14ac:dyDescent="0.2">
      <c r="A512" t="s">
        <v>630</v>
      </c>
      <c r="B512" t="s">
        <v>631</v>
      </c>
      <c r="C512" t="s">
        <v>632</v>
      </c>
      <c r="D512" s="8">
        <v>12605969</v>
      </c>
      <c r="E512" t="s">
        <v>66</v>
      </c>
      <c r="F512" t="s">
        <v>67</v>
      </c>
      <c r="G512" t="s">
        <v>68</v>
      </c>
      <c r="H512">
        <v>6</v>
      </c>
      <c r="I512">
        <v>112.5</v>
      </c>
      <c r="J512" t="s">
        <v>78</v>
      </c>
      <c r="K512" t="s">
        <v>70</v>
      </c>
      <c r="L512" t="s">
        <v>239</v>
      </c>
      <c r="M512" t="s">
        <v>72</v>
      </c>
      <c r="N512">
        <v>0.04</v>
      </c>
      <c r="O512">
        <v>4.0000000000000036E-2</v>
      </c>
      <c r="P512">
        <v>6</v>
      </c>
      <c r="Q512">
        <v>0</v>
      </c>
    </row>
    <row r="513" spans="1:17" x14ac:dyDescent="0.2">
      <c r="A513" t="s">
        <v>630</v>
      </c>
      <c r="B513" t="s">
        <v>631</v>
      </c>
      <c r="C513" t="s">
        <v>632</v>
      </c>
      <c r="D513" s="8">
        <v>12605994</v>
      </c>
      <c r="E513" t="s">
        <v>85</v>
      </c>
      <c r="F513" t="s">
        <v>67</v>
      </c>
      <c r="G513" t="s">
        <v>68</v>
      </c>
      <c r="H513">
        <v>12</v>
      </c>
      <c r="I513">
        <v>225.01</v>
      </c>
      <c r="J513" t="s">
        <v>78</v>
      </c>
      <c r="K513" t="s">
        <v>70</v>
      </c>
      <c r="L513" t="s">
        <v>239</v>
      </c>
      <c r="M513" t="s">
        <v>72</v>
      </c>
      <c r="N513">
        <v>0.08</v>
      </c>
      <c r="O513">
        <v>8.0000000000000071E-2</v>
      </c>
      <c r="P513">
        <v>12</v>
      </c>
      <c r="Q513">
        <v>0</v>
      </c>
    </row>
    <row r="514" spans="1:17" x14ac:dyDescent="0.2">
      <c r="A514" t="s">
        <v>630</v>
      </c>
      <c r="B514" t="s">
        <v>631</v>
      </c>
      <c r="C514" t="s">
        <v>632</v>
      </c>
      <c r="D514" s="8">
        <v>12436421</v>
      </c>
      <c r="E514" t="s">
        <v>6</v>
      </c>
      <c r="F514" t="s">
        <v>67</v>
      </c>
      <c r="G514" t="s">
        <v>68</v>
      </c>
      <c r="H514">
        <v>24</v>
      </c>
      <c r="I514">
        <v>257.91000000000003</v>
      </c>
      <c r="J514" t="s">
        <v>78</v>
      </c>
      <c r="K514" t="s">
        <v>70</v>
      </c>
      <c r="L514" t="s">
        <v>239</v>
      </c>
      <c r="M514" t="s">
        <v>72</v>
      </c>
      <c r="N514">
        <v>0.13</v>
      </c>
      <c r="O514">
        <v>0.12999999999999989</v>
      </c>
      <c r="P514">
        <v>24</v>
      </c>
      <c r="Q514">
        <v>0</v>
      </c>
    </row>
    <row r="515" spans="1:17" x14ac:dyDescent="0.2">
      <c r="A515" t="s">
        <v>630</v>
      </c>
      <c r="B515" t="s">
        <v>631</v>
      </c>
      <c r="C515" t="s">
        <v>632</v>
      </c>
      <c r="D515" s="8">
        <v>12604367</v>
      </c>
      <c r="E515" t="s">
        <v>82</v>
      </c>
      <c r="F515" t="s">
        <v>67</v>
      </c>
      <c r="G515" t="s">
        <v>68</v>
      </c>
      <c r="H515">
        <v>30</v>
      </c>
      <c r="I515">
        <v>248.36</v>
      </c>
      <c r="J515" t="s">
        <v>78</v>
      </c>
      <c r="K515" t="s">
        <v>70</v>
      </c>
      <c r="L515" t="s">
        <v>239</v>
      </c>
      <c r="M515" t="s">
        <v>72</v>
      </c>
      <c r="N515">
        <v>0.13</v>
      </c>
      <c r="O515">
        <v>0.12999999999999989</v>
      </c>
      <c r="P515">
        <v>30</v>
      </c>
      <c r="Q515">
        <v>0</v>
      </c>
    </row>
    <row r="516" spans="1:17" x14ac:dyDescent="0.2">
      <c r="A516" t="s">
        <v>630</v>
      </c>
      <c r="B516" t="s">
        <v>631</v>
      </c>
      <c r="C516" t="s">
        <v>632</v>
      </c>
      <c r="D516" s="8">
        <v>12575127</v>
      </c>
      <c r="E516" t="s">
        <v>13</v>
      </c>
      <c r="F516" t="s">
        <v>67</v>
      </c>
      <c r="G516" t="s">
        <v>68</v>
      </c>
      <c r="H516">
        <v>12</v>
      </c>
      <c r="I516">
        <v>103.97</v>
      </c>
      <c r="J516" t="s">
        <v>78</v>
      </c>
      <c r="K516" t="s">
        <v>70</v>
      </c>
      <c r="L516" t="s">
        <v>239</v>
      </c>
      <c r="M516" t="s">
        <v>72</v>
      </c>
      <c r="N516">
        <v>0.02</v>
      </c>
      <c r="O516">
        <v>2.0000000000000018E-2</v>
      </c>
      <c r="P516">
        <v>12</v>
      </c>
      <c r="Q516">
        <v>0</v>
      </c>
    </row>
    <row r="517" spans="1:17" x14ac:dyDescent="0.2">
      <c r="A517" t="s">
        <v>633</v>
      </c>
      <c r="B517" t="s">
        <v>634</v>
      </c>
      <c r="C517" t="s">
        <v>635</v>
      </c>
      <c r="D517" s="8">
        <v>12623528</v>
      </c>
      <c r="E517" t="s">
        <v>274</v>
      </c>
      <c r="F517" t="s">
        <v>67</v>
      </c>
      <c r="G517" t="s">
        <v>68</v>
      </c>
      <c r="H517">
        <v>8</v>
      </c>
      <c r="I517">
        <v>112.55</v>
      </c>
      <c r="J517" t="s">
        <v>77</v>
      </c>
      <c r="K517" t="s">
        <v>70</v>
      </c>
      <c r="L517" t="s">
        <v>239</v>
      </c>
      <c r="M517" t="s">
        <v>72</v>
      </c>
      <c r="N517">
        <v>0.04</v>
      </c>
      <c r="O517">
        <v>4.0000000000000036E-2</v>
      </c>
      <c r="P517">
        <v>8</v>
      </c>
      <c r="Q517">
        <v>0</v>
      </c>
    </row>
    <row r="518" spans="1:17" x14ac:dyDescent="0.2">
      <c r="A518" t="s">
        <v>636</v>
      </c>
      <c r="B518" t="s">
        <v>637</v>
      </c>
      <c r="C518" t="s">
        <v>638</v>
      </c>
      <c r="D518" s="8">
        <v>12613402</v>
      </c>
      <c r="E518" t="s">
        <v>73</v>
      </c>
      <c r="F518" t="s">
        <v>67</v>
      </c>
      <c r="G518" t="s">
        <v>68</v>
      </c>
      <c r="H518">
        <v>6</v>
      </c>
      <c r="I518">
        <v>18.32</v>
      </c>
      <c r="J518" t="s">
        <v>77</v>
      </c>
      <c r="K518" t="s">
        <v>70</v>
      </c>
      <c r="L518" t="s">
        <v>239</v>
      </c>
      <c r="M518" t="s">
        <v>72</v>
      </c>
      <c r="N518">
        <v>0.01</v>
      </c>
      <c r="O518">
        <v>1.0000000000000009E-2</v>
      </c>
      <c r="P518">
        <v>6</v>
      </c>
      <c r="Q518">
        <v>0</v>
      </c>
    </row>
    <row r="519" spans="1:17" x14ac:dyDescent="0.2">
      <c r="A519" t="s">
        <v>636</v>
      </c>
      <c r="B519" t="s">
        <v>637</v>
      </c>
      <c r="C519" t="s">
        <v>638</v>
      </c>
      <c r="D519" s="8">
        <v>12605969</v>
      </c>
      <c r="E519" t="s">
        <v>66</v>
      </c>
      <c r="F519" t="s">
        <v>67</v>
      </c>
      <c r="G519" t="s">
        <v>68</v>
      </c>
      <c r="H519">
        <v>1</v>
      </c>
      <c r="I519">
        <v>18.75</v>
      </c>
      <c r="J519" t="s">
        <v>77</v>
      </c>
      <c r="K519" t="s">
        <v>70</v>
      </c>
      <c r="L519" t="s">
        <v>239</v>
      </c>
      <c r="M519" t="s">
        <v>72</v>
      </c>
      <c r="N519">
        <v>0.01</v>
      </c>
      <c r="O519">
        <v>1.0000000000000009E-2</v>
      </c>
      <c r="P519">
        <v>1</v>
      </c>
      <c r="Q519">
        <v>0</v>
      </c>
    </row>
    <row r="520" spans="1:17" x14ac:dyDescent="0.2">
      <c r="A520" t="s">
        <v>636</v>
      </c>
      <c r="B520" t="s">
        <v>637</v>
      </c>
      <c r="C520" t="s">
        <v>638</v>
      </c>
      <c r="D520" s="8">
        <v>12605994</v>
      </c>
      <c r="E520" t="s">
        <v>85</v>
      </c>
      <c r="F520" t="s">
        <v>67</v>
      </c>
      <c r="G520" t="s">
        <v>68</v>
      </c>
      <c r="H520">
        <v>1</v>
      </c>
      <c r="I520">
        <v>18.75</v>
      </c>
      <c r="J520" t="s">
        <v>77</v>
      </c>
      <c r="K520" t="s">
        <v>70</v>
      </c>
      <c r="L520" t="s">
        <v>239</v>
      </c>
      <c r="M520" t="s">
        <v>72</v>
      </c>
      <c r="N520">
        <v>0.01</v>
      </c>
      <c r="O520">
        <v>1.0000000000000009E-2</v>
      </c>
      <c r="P520">
        <v>1</v>
      </c>
      <c r="Q520">
        <v>0</v>
      </c>
    </row>
    <row r="521" spans="1:17" x14ac:dyDescent="0.2">
      <c r="A521" t="s">
        <v>636</v>
      </c>
      <c r="B521" t="s">
        <v>637</v>
      </c>
      <c r="C521" t="s">
        <v>638</v>
      </c>
      <c r="D521" s="8">
        <v>12436421</v>
      </c>
      <c r="E521" t="s">
        <v>6</v>
      </c>
      <c r="F521" t="s">
        <v>67</v>
      </c>
      <c r="G521" t="s">
        <v>68</v>
      </c>
      <c r="H521">
        <v>8</v>
      </c>
      <c r="I521">
        <v>85.97</v>
      </c>
      <c r="J521" t="s">
        <v>77</v>
      </c>
      <c r="K521" t="s">
        <v>70</v>
      </c>
      <c r="L521" t="s">
        <v>239</v>
      </c>
      <c r="M521" t="s">
        <v>72</v>
      </c>
      <c r="N521">
        <v>0.04</v>
      </c>
      <c r="O521">
        <v>4.0000000000000036E-2</v>
      </c>
      <c r="P521">
        <v>8</v>
      </c>
      <c r="Q521">
        <v>0</v>
      </c>
    </row>
    <row r="522" spans="1:17" x14ac:dyDescent="0.2">
      <c r="A522" t="s">
        <v>639</v>
      </c>
      <c r="B522" t="s">
        <v>640</v>
      </c>
      <c r="C522" t="s">
        <v>641</v>
      </c>
      <c r="D522" s="8">
        <v>12613402</v>
      </c>
      <c r="E522" t="s">
        <v>73</v>
      </c>
      <c r="F522" t="s">
        <v>67</v>
      </c>
      <c r="G522" t="s">
        <v>68</v>
      </c>
      <c r="H522">
        <v>48</v>
      </c>
      <c r="I522">
        <v>146.63</v>
      </c>
      <c r="J522" t="s">
        <v>78</v>
      </c>
      <c r="K522" t="s">
        <v>70</v>
      </c>
      <c r="L522" t="s">
        <v>239</v>
      </c>
      <c r="M522" t="s">
        <v>72</v>
      </c>
      <c r="N522">
        <v>0.05</v>
      </c>
      <c r="O522">
        <v>5.0000000000000044E-2</v>
      </c>
      <c r="P522">
        <v>48</v>
      </c>
      <c r="Q522">
        <v>0</v>
      </c>
    </row>
    <row r="523" spans="1:17" x14ac:dyDescent="0.2">
      <c r="A523" t="s">
        <v>639</v>
      </c>
      <c r="B523" t="s">
        <v>640</v>
      </c>
      <c r="C523" t="s">
        <v>641</v>
      </c>
      <c r="D523" s="8">
        <v>12605994</v>
      </c>
      <c r="E523" t="s">
        <v>85</v>
      </c>
      <c r="F523" t="s">
        <v>67</v>
      </c>
      <c r="G523" t="s">
        <v>68</v>
      </c>
      <c r="H523">
        <v>12</v>
      </c>
      <c r="I523">
        <v>225.01</v>
      </c>
      <c r="J523" t="s">
        <v>78</v>
      </c>
      <c r="K523" t="s">
        <v>70</v>
      </c>
      <c r="L523" t="s">
        <v>239</v>
      </c>
      <c r="M523" t="s">
        <v>72</v>
      </c>
      <c r="N523">
        <v>0.08</v>
      </c>
      <c r="O523">
        <v>8.0000000000000071E-2</v>
      </c>
      <c r="P523">
        <v>12</v>
      </c>
      <c r="Q523">
        <v>0</v>
      </c>
    </row>
    <row r="524" spans="1:17" x14ac:dyDescent="0.2">
      <c r="A524" t="s">
        <v>639</v>
      </c>
      <c r="B524" t="s">
        <v>640</v>
      </c>
      <c r="C524" t="s">
        <v>641</v>
      </c>
      <c r="D524" s="8">
        <v>12436421</v>
      </c>
      <c r="E524" t="s">
        <v>6</v>
      </c>
      <c r="F524" t="s">
        <v>67</v>
      </c>
      <c r="G524" t="s">
        <v>68</v>
      </c>
      <c r="H524">
        <v>24</v>
      </c>
      <c r="I524">
        <v>257.91000000000003</v>
      </c>
      <c r="J524" t="s">
        <v>78</v>
      </c>
      <c r="K524" t="s">
        <v>70</v>
      </c>
      <c r="L524" t="s">
        <v>239</v>
      </c>
      <c r="M524" t="s">
        <v>72</v>
      </c>
      <c r="N524">
        <v>0.13</v>
      </c>
      <c r="O524">
        <v>0.12999999999999989</v>
      </c>
      <c r="P524">
        <v>24</v>
      </c>
      <c r="Q524">
        <v>0</v>
      </c>
    </row>
    <row r="525" spans="1:17" x14ac:dyDescent="0.2">
      <c r="A525" t="s">
        <v>639</v>
      </c>
      <c r="B525" t="s">
        <v>640</v>
      </c>
      <c r="C525" t="s">
        <v>641</v>
      </c>
      <c r="D525" s="8">
        <v>12575127</v>
      </c>
      <c r="E525" t="s">
        <v>13</v>
      </c>
      <c r="F525" t="s">
        <v>67</v>
      </c>
      <c r="G525" t="s">
        <v>68</v>
      </c>
      <c r="H525">
        <v>12</v>
      </c>
      <c r="I525">
        <v>103.97</v>
      </c>
      <c r="J525" t="s">
        <v>78</v>
      </c>
      <c r="K525" t="s">
        <v>70</v>
      </c>
      <c r="L525" t="s">
        <v>239</v>
      </c>
      <c r="M525" t="s">
        <v>72</v>
      </c>
      <c r="N525">
        <v>0.02</v>
      </c>
      <c r="O525">
        <v>2.0000000000000018E-2</v>
      </c>
      <c r="P525">
        <v>12</v>
      </c>
      <c r="Q525">
        <v>0</v>
      </c>
    </row>
    <row r="526" spans="1:17" x14ac:dyDescent="0.2">
      <c r="A526" t="s">
        <v>642</v>
      </c>
      <c r="B526" t="s">
        <v>643</v>
      </c>
      <c r="C526" t="s">
        <v>644</v>
      </c>
      <c r="D526" s="8">
        <v>12613402</v>
      </c>
      <c r="E526" t="s">
        <v>73</v>
      </c>
      <c r="F526" t="s">
        <v>67</v>
      </c>
      <c r="G526" t="s">
        <v>68</v>
      </c>
      <c r="H526">
        <v>48</v>
      </c>
      <c r="I526">
        <v>146.63</v>
      </c>
      <c r="J526" t="s">
        <v>78</v>
      </c>
      <c r="K526" t="s">
        <v>70</v>
      </c>
      <c r="L526" t="s">
        <v>239</v>
      </c>
      <c r="M526" t="s">
        <v>72</v>
      </c>
      <c r="N526">
        <v>0.05</v>
      </c>
      <c r="O526">
        <v>5.0000000000000044E-2</v>
      </c>
      <c r="P526">
        <v>48</v>
      </c>
      <c r="Q526">
        <v>0</v>
      </c>
    </row>
    <row r="527" spans="1:17" x14ac:dyDescent="0.2">
      <c r="A527" t="s">
        <v>642</v>
      </c>
      <c r="B527" t="s">
        <v>643</v>
      </c>
      <c r="C527" t="s">
        <v>644</v>
      </c>
      <c r="D527" s="8">
        <v>12605969</v>
      </c>
      <c r="E527" t="s">
        <v>66</v>
      </c>
      <c r="F527" t="s">
        <v>67</v>
      </c>
      <c r="G527" t="s">
        <v>68</v>
      </c>
      <c r="H527">
        <v>2</v>
      </c>
      <c r="I527">
        <v>37.5</v>
      </c>
      <c r="J527" t="s">
        <v>78</v>
      </c>
      <c r="K527" t="s">
        <v>70</v>
      </c>
      <c r="L527" t="s">
        <v>239</v>
      </c>
      <c r="M527" t="s">
        <v>72</v>
      </c>
      <c r="N527">
        <v>0.01</v>
      </c>
      <c r="O527">
        <v>1.0000000000000009E-2</v>
      </c>
      <c r="P527">
        <v>2</v>
      </c>
      <c r="Q527">
        <v>0</v>
      </c>
    </row>
    <row r="528" spans="1:17" x14ac:dyDescent="0.2">
      <c r="A528" t="s">
        <v>642</v>
      </c>
      <c r="B528" t="s">
        <v>643</v>
      </c>
      <c r="C528" t="s">
        <v>644</v>
      </c>
      <c r="D528" s="8">
        <v>12436421</v>
      </c>
      <c r="E528" t="s">
        <v>6</v>
      </c>
      <c r="F528" t="s">
        <v>67</v>
      </c>
      <c r="G528" t="s">
        <v>68</v>
      </c>
      <c r="H528">
        <v>8</v>
      </c>
      <c r="I528">
        <v>85.97</v>
      </c>
      <c r="J528" t="s">
        <v>78</v>
      </c>
      <c r="K528" t="s">
        <v>70</v>
      </c>
      <c r="L528" t="s">
        <v>239</v>
      </c>
      <c r="M528" t="s">
        <v>72</v>
      </c>
      <c r="N528">
        <v>0.04</v>
      </c>
      <c r="O528">
        <v>4.0000000000000036E-2</v>
      </c>
      <c r="P528">
        <v>8</v>
      </c>
      <c r="Q528">
        <v>0</v>
      </c>
    </row>
    <row r="529" spans="1:17" x14ac:dyDescent="0.2">
      <c r="A529" t="s">
        <v>642</v>
      </c>
      <c r="B529" t="s">
        <v>643</v>
      </c>
      <c r="C529" t="s">
        <v>644</v>
      </c>
      <c r="D529" s="8">
        <v>12604418</v>
      </c>
      <c r="E529" t="s">
        <v>87</v>
      </c>
      <c r="F529" t="s">
        <v>67</v>
      </c>
      <c r="G529" t="s">
        <v>68</v>
      </c>
      <c r="H529">
        <v>30</v>
      </c>
      <c r="I529">
        <v>248.36</v>
      </c>
      <c r="J529" t="s">
        <v>78</v>
      </c>
      <c r="K529" t="s">
        <v>70</v>
      </c>
      <c r="L529" t="s">
        <v>239</v>
      </c>
      <c r="M529" t="s">
        <v>72</v>
      </c>
      <c r="N529">
        <v>0.13</v>
      </c>
      <c r="O529">
        <v>0.12999999999999989</v>
      </c>
      <c r="P529">
        <v>30</v>
      </c>
      <c r="Q529">
        <v>0</v>
      </c>
    </row>
    <row r="530" spans="1:17" x14ac:dyDescent="0.2">
      <c r="A530" t="s">
        <v>642</v>
      </c>
      <c r="B530" t="s">
        <v>643</v>
      </c>
      <c r="C530" t="s">
        <v>644</v>
      </c>
      <c r="D530" s="8">
        <v>12575127</v>
      </c>
      <c r="E530" t="s">
        <v>13</v>
      </c>
      <c r="F530" t="s">
        <v>67</v>
      </c>
      <c r="G530" t="s">
        <v>68</v>
      </c>
      <c r="H530">
        <v>12</v>
      </c>
      <c r="I530">
        <v>103.97</v>
      </c>
      <c r="J530" t="s">
        <v>78</v>
      </c>
      <c r="K530" t="s">
        <v>70</v>
      </c>
      <c r="L530" t="s">
        <v>239</v>
      </c>
      <c r="M530" t="s">
        <v>72</v>
      </c>
      <c r="N530">
        <v>0.02</v>
      </c>
      <c r="O530">
        <v>2.0000000000000018E-2</v>
      </c>
      <c r="P530">
        <v>12</v>
      </c>
      <c r="Q530">
        <v>0</v>
      </c>
    </row>
    <row r="531" spans="1:17" x14ac:dyDescent="0.2">
      <c r="A531" t="s">
        <v>642</v>
      </c>
      <c r="B531" t="s">
        <v>643</v>
      </c>
      <c r="C531" t="s">
        <v>644</v>
      </c>
      <c r="D531" s="8">
        <v>12560070</v>
      </c>
      <c r="E531" t="s">
        <v>15</v>
      </c>
      <c r="F531" t="s">
        <v>67</v>
      </c>
      <c r="G531" t="s">
        <v>68</v>
      </c>
      <c r="H531">
        <v>8</v>
      </c>
      <c r="I531">
        <v>38.28</v>
      </c>
      <c r="J531" t="s">
        <v>78</v>
      </c>
      <c r="K531" t="s">
        <v>70</v>
      </c>
      <c r="L531" t="s">
        <v>239</v>
      </c>
      <c r="M531" t="s">
        <v>72</v>
      </c>
      <c r="N531">
        <v>0.01</v>
      </c>
      <c r="O531">
        <v>1.0000000000000009E-2</v>
      </c>
      <c r="P531">
        <v>8</v>
      </c>
      <c r="Q531">
        <v>0</v>
      </c>
    </row>
    <row r="532" spans="1:17" x14ac:dyDescent="0.2">
      <c r="A532" t="s">
        <v>645</v>
      </c>
      <c r="B532" t="s">
        <v>646</v>
      </c>
      <c r="C532" t="s">
        <v>647</v>
      </c>
      <c r="D532" s="8">
        <v>12613402</v>
      </c>
      <c r="E532" t="s">
        <v>73</v>
      </c>
      <c r="F532" t="s">
        <v>67</v>
      </c>
      <c r="G532" t="s">
        <v>68</v>
      </c>
      <c r="H532">
        <v>48</v>
      </c>
      <c r="I532">
        <v>146.63</v>
      </c>
      <c r="J532" t="s">
        <v>78</v>
      </c>
      <c r="K532" t="s">
        <v>70</v>
      </c>
      <c r="L532" t="s">
        <v>239</v>
      </c>
      <c r="M532" t="s">
        <v>72</v>
      </c>
      <c r="N532">
        <v>0.05</v>
      </c>
      <c r="O532">
        <v>5.0000000000000044E-2</v>
      </c>
      <c r="P532">
        <v>48</v>
      </c>
      <c r="Q532">
        <v>0</v>
      </c>
    </row>
    <row r="533" spans="1:17" x14ac:dyDescent="0.2">
      <c r="A533" t="s">
        <v>645</v>
      </c>
      <c r="B533" t="s">
        <v>646</v>
      </c>
      <c r="C533" t="s">
        <v>647</v>
      </c>
      <c r="D533" s="8">
        <v>12605969</v>
      </c>
      <c r="E533" t="s">
        <v>66</v>
      </c>
      <c r="F533" t="s">
        <v>67</v>
      </c>
      <c r="G533" t="s">
        <v>68</v>
      </c>
      <c r="H533">
        <v>2</v>
      </c>
      <c r="I533">
        <v>37.5</v>
      </c>
      <c r="J533" t="s">
        <v>78</v>
      </c>
      <c r="K533" t="s">
        <v>70</v>
      </c>
      <c r="L533" t="s">
        <v>239</v>
      </c>
      <c r="M533" t="s">
        <v>72</v>
      </c>
      <c r="N533">
        <v>0.01</v>
      </c>
      <c r="O533">
        <v>1.0000000000000009E-2</v>
      </c>
      <c r="P533">
        <v>2</v>
      </c>
      <c r="Q533">
        <v>0</v>
      </c>
    </row>
    <row r="534" spans="1:17" x14ac:dyDescent="0.2">
      <c r="A534" t="s">
        <v>645</v>
      </c>
      <c r="B534" t="s">
        <v>646</v>
      </c>
      <c r="C534" t="s">
        <v>647</v>
      </c>
      <c r="D534" s="8">
        <v>12436421</v>
      </c>
      <c r="E534" t="s">
        <v>6</v>
      </c>
      <c r="F534" t="s">
        <v>67</v>
      </c>
      <c r="G534" t="s">
        <v>68</v>
      </c>
      <c r="H534">
        <v>8</v>
      </c>
      <c r="I534">
        <v>85.97</v>
      </c>
      <c r="J534" t="s">
        <v>78</v>
      </c>
      <c r="K534" t="s">
        <v>70</v>
      </c>
      <c r="L534" t="s">
        <v>239</v>
      </c>
      <c r="M534" t="s">
        <v>72</v>
      </c>
      <c r="N534">
        <v>0.04</v>
      </c>
      <c r="O534">
        <v>4.0000000000000036E-2</v>
      </c>
      <c r="P534">
        <v>8</v>
      </c>
      <c r="Q534">
        <v>0</v>
      </c>
    </row>
    <row r="535" spans="1:17" x14ac:dyDescent="0.2">
      <c r="A535" t="s">
        <v>645</v>
      </c>
      <c r="B535" t="s">
        <v>646</v>
      </c>
      <c r="C535" t="s">
        <v>647</v>
      </c>
      <c r="D535" s="8">
        <v>12604418</v>
      </c>
      <c r="E535" t="s">
        <v>87</v>
      </c>
      <c r="F535" t="s">
        <v>67</v>
      </c>
      <c r="G535" t="s">
        <v>68</v>
      </c>
      <c r="H535">
        <v>60</v>
      </c>
      <c r="I535">
        <v>496.72</v>
      </c>
      <c r="J535" t="s">
        <v>78</v>
      </c>
      <c r="K535" t="s">
        <v>70</v>
      </c>
      <c r="L535" t="s">
        <v>239</v>
      </c>
      <c r="M535" t="s">
        <v>72</v>
      </c>
      <c r="N535">
        <v>0.25</v>
      </c>
      <c r="O535">
        <v>0.25</v>
      </c>
      <c r="P535">
        <v>60</v>
      </c>
      <c r="Q535">
        <v>0</v>
      </c>
    </row>
    <row r="536" spans="1:17" x14ac:dyDescent="0.2">
      <c r="A536" t="s">
        <v>645</v>
      </c>
      <c r="B536" t="s">
        <v>646</v>
      </c>
      <c r="C536" t="s">
        <v>647</v>
      </c>
      <c r="D536" s="8">
        <v>12575127</v>
      </c>
      <c r="E536" t="s">
        <v>13</v>
      </c>
      <c r="F536" t="s">
        <v>67</v>
      </c>
      <c r="G536" t="s">
        <v>68</v>
      </c>
      <c r="H536">
        <v>12</v>
      </c>
      <c r="I536">
        <v>103.97</v>
      </c>
      <c r="J536" t="s">
        <v>78</v>
      </c>
      <c r="K536" t="s">
        <v>70</v>
      </c>
      <c r="L536" t="s">
        <v>239</v>
      </c>
      <c r="M536" t="s">
        <v>72</v>
      </c>
      <c r="N536">
        <v>0.02</v>
      </c>
      <c r="O536">
        <v>2.0000000000000018E-2</v>
      </c>
      <c r="P536">
        <v>12</v>
      </c>
      <c r="Q536">
        <v>0</v>
      </c>
    </row>
    <row r="537" spans="1:17" x14ac:dyDescent="0.2">
      <c r="A537" t="s">
        <v>645</v>
      </c>
      <c r="B537" t="s">
        <v>646</v>
      </c>
      <c r="C537" t="s">
        <v>647</v>
      </c>
      <c r="D537" s="8">
        <v>12560070</v>
      </c>
      <c r="E537" t="s">
        <v>15</v>
      </c>
      <c r="F537" t="s">
        <v>67</v>
      </c>
      <c r="G537" t="s">
        <v>68</v>
      </c>
      <c r="H537">
        <v>8</v>
      </c>
      <c r="I537">
        <v>38.28</v>
      </c>
      <c r="J537" t="s">
        <v>78</v>
      </c>
      <c r="K537" t="s">
        <v>70</v>
      </c>
      <c r="L537" t="s">
        <v>239</v>
      </c>
      <c r="M537" t="s">
        <v>72</v>
      </c>
      <c r="N537">
        <v>0.01</v>
      </c>
      <c r="O537">
        <v>1.0000000000000009E-2</v>
      </c>
      <c r="P537">
        <v>8</v>
      </c>
      <c r="Q537">
        <v>0</v>
      </c>
    </row>
    <row r="538" spans="1:17" x14ac:dyDescent="0.2">
      <c r="A538" t="s">
        <v>648</v>
      </c>
      <c r="B538" t="s">
        <v>649</v>
      </c>
      <c r="C538" t="s">
        <v>650</v>
      </c>
      <c r="D538" s="8">
        <v>12613402</v>
      </c>
      <c r="E538" t="s">
        <v>73</v>
      </c>
      <c r="F538" t="s">
        <v>67</v>
      </c>
      <c r="G538" t="s">
        <v>68</v>
      </c>
      <c r="H538">
        <v>48</v>
      </c>
      <c r="I538">
        <v>146.63</v>
      </c>
      <c r="J538" t="s">
        <v>78</v>
      </c>
      <c r="K538" t="s">
        <v>70</v>
      </c>
      <c r="L538" t="s">
        <v>239</v>
      </c>
      <c r="M538" t="s">
        <v>72</v>
      </c>
      <c r="N538">
        <v>0.05</v>
      </c>
      <c r="O538">
        <v>5.0000000000000044E-2</v>
      </c>
      <c r="P538">
        <v>48</v>
      </c>
      <c r="Q538">
        <v>0</v>
      </c>
    </row>
    <row r="539" spans="1:17" x14ac:dyDescent="0.2">
      <c r="A539" t="s">
        <v>648</v>
      </c>
      <c r="B539" t="s">
        <v>649</v>
      </c>
      <c r="C539" t="s">
        <v>650</v>
      </c>
      <c r="D539" s="8">
        <v>12605969</v>
      </c>
      <c r="E539" t="s">
        <v>66</v>
      </c>
      <c r="F539" t="s">
        <v>67</v>
      </c>
      <c r="G539" t="s">
        <v>68</v>
      </c>
      <c r="H539">
        <v>2</v>
      </c>
      <c r="I539">
        <v>37.5</v>
      </c>
      <c r="J539" t="s">
        <v>78</v>
      </c>
      <c r="K539" t="s">
        <v>70</v>
      </c>
      <c r="L539" t="s">
        <v>239</v>
      </c>
      <c r="M539" t="s">
        <v>72</v>
      </c>
      <c r="N539">
        <v>0.01</v>
      </c>
      <c r="O539">
        <v>1.0000000000000009E-2</v>
      </c>
      <c r="P539">
        <v>2</v>
      </c>
      <c r="Q539">
        <v>0</v>
      </c>
    </row>
    <row r="540" spans="1:17" x14ac:dyDescent="0.2">
      <c r="A540" t="s">
        <v>648</v>
      </c>
      <c r="B540" t="s">
        <v>649</v>
      </c>
      <c r="C540" t="s">
        <v>650</v>
      </c>
      <c r="D540" s="8">
        <v>12436421</v>
      </c>
      <c r="E540" t="s">
        <v>6</v>
      </c>
      <c r="F540" t="s">
        <v>67</v>
      </c>
      <c r="G540" t="s">
        <v>68</v>
      </c>
      <c r="H540">
        <v>8</v>
      </c>
      <c r="I540">
        <v>85.97</v>
      </c>
      <c r="J540" t="s">
        <v>78</v>
      </c>
      <c r="K540" t="s">
        <v>70</v>
      </c>
      <c r="L540" t="s">
        <v>239</v>
      </c>
      <c r="M540" t="s">
        <v>72</v>
      </c>
      <c r="N540">
        <v>0.04</v>
      </c>
      <c r="O540">
        <v>4.0000000000000036E-2</v>
      </c>
      <c r="P540">
        <v>8</v>
      </c>
      <c r="Q540">
        <v>0</v>
      </c>
    </row>
    <row r="541" spans="1:17" x14ac:dyDescent="0.2">
      <c r="A541" t="s">
        <v>648</v>
      </c>
      <c r="B541" t="s">
        <v>649</v>
      </c>
      <c r="C541" t="s">
        <v>650</v>
      </c>
      <c r="D541" s="8">
        <v>12604369</v>
      </c>
      <c r="E541" t="s">
        <v>316</v>
      </c>
      <c r="F541" t="s">
        <v>67</v>
      </c>
      <c r="G541" t="s">
        <v>68</v>
      </c>
      <c r="H541">
        <v>30</v>
      </c>
      <c r="I541">
        <v>403.6</v>
      </c>
      <c r="J541" t="s">
        <v>78</v>
      </c>
      <c r="K541" t="s">
        <v>70</v>
      </c>
      <c r="L541" t="s">
        <v>239</v>
      </c>
      <c r="M541" t="s">
        <v>72</v>
      </c>
      <c r="N541">
        <v>0.15</v>
      </c>
      <c r="O541">
        <v>0.14999999999999991</v>
      </c>
      <c r="P541">
        <v>30</v>
      </c>
      <c r="Q541">
        <v>0</v>
      </c>
    </row>
    <row r="542" spans="1:17" x14ac:dyDescent="0.2">
      <c r="A542" t="s">
        <v>648</v>
      </c>
      <c r="B542" t="s">
        <v>649</v>
      </c>
      <c r="C542" t="s">
        <v>650</v>
      </c>
      <c r="D542" s="8">
        <v>12604418</v>
      </c>
      <c r="E542" t="s">
        <v>87</v>
      </c>
      <c r="F542" t="s">
        <v>67</v>
      </c>
      <c r="G542" t="s">
        <v>68</v>
      </c>
      <c r="H542">
        <v>30</v>
      </c>
      <c r="I542">
        <v>248.36</v>
      </c>
      <c r="J542" t="s">
        <v>78</v>
      </c>
      <c r="K542" t="s">
        <v>70</v>
      </c>
      <c r="L542" t="s">
        <v>239</v>
      </c>
      <c r="M542" t="s">
        <v>72</v>
      </c>
      <c r="N542">
        <v>0.13</v>
      </c>
      <c r="O542">
        <v>0.12999999999999989</v>
      </c>
      <c r="P542">
        <v>30</v>
      </c>
      <c r="Q542">
        <v>0</v>
      </c>
    </row>
    <row r="543" spans="1:17" x14ac:dyDescent="0.2">
      <c r="A543" t="s">
        <v>648</v>
      </c>
      <c r="B543" t="s">
        <v>649</v>
      </c>
      <c r="C543" t="s">
        <v>650</v>
      </c>
      <c r="D543" s="8">
        <v>12575127</v>
      </c>
      <c r="E543" t="s">
        <v>13</v>
      </c>
      <c r="F543" t="s">
        <v>67</v>
      </c>
      <c r="G543" t="s">
        <v>68</v>
      </c>
      <c r="H543">
        <v>12</v>
      </c>
      <c r="I543">
        <v>103.97</v>
      </c>
      <c r="J543" t="s">
        <v>78</v>
      </c>
      <c r="K543" t="s">
        <v>70</v>
      </c>
      <c r="L543" t="s">
        <v>239</v>
      </c>
      <c r="M543" t="s">
        <v>72</v>
      </c>
      <c r="N543">
        <v>0.02</v>
      </c>
      <c r="O543">
        <v>2.0000000000000018E-2</v>
      </c>
      <c r="P543">
        <v>12</v>
      </c>
      <c r="Q543">
        <v>0</v>
      </c>
    </row>
    <row r="544" spans="1:17" x14ac:dyDescent="0.2">
      <c r="A544" t="s">
        <v>648</v>
      </c>
      <c r="B544" t="s">
        <v>649</v>
      </c>
      <c r="C544" t="s">
        <v>650</v>
      </c>
      <c r="D544" s="8">
        <v>12560070</v>
      </c>
      <c r="E544" t="s">
        <v>15</v>
      </c>
      <c r="F544" t="s">
        <v>67</v>
      </c>
      <c r="G544" t="s">
        <v>68</v>
      </c>
      <c r="H544">
        <v>8</v>
      </c>
      <c r="I544">
        <v>38.28</v>
      </c>
      <c r="J544" t="s">
        <v>78</v>
      </c>
      <c r="K544" t="s">
        <v>70</v>
      </c>
      <c r="L544" t="s">
        <v>239</v>
      </c>
      <c r="M544" t="s">
        <v>72</v>
      </c>
      <c r="N544">
        <v>0.01</v>
      </c>
      <c r="O544">
        <v>1.0000000000000009E-2</v>
      </c>
      <c r="P544">
        <v>8</v>
      </c>
      <c r="Q544">
        <v>0</v>
      </c>
    </row>
    <row r="545" spans="1:17" x14ac:dyDescent="0.2">
      <c r="A545" t="s">
        <v>651</v>
      </c>
      <c r="B545" t="s">
        <v>652</v>
      </c>
      <c r="C545" t="s">
        <v>653</v>
      </c>
      <c r="D545" s="8">
        <v>12613402</v>
      </c>
      <c r="E545" t="s">
        <v>73</v>
      </c>
      <c r="F545" t="s">
        <v>67</v>
      </c>
      <c r="G545" t="s">
        <v>68</v>
      </c>
      <c r="H545">
        <v>48</v>
      </c>
      <c r="I545">
        <v>146.63</v>
      </c>
      <c r="J545" t="s">
        <v>78</v>
      </c>
      <c r="K545" t="s">
        <v>70</v>
      </c>
      <c r="L545" t="s">
        <v>239</v>
      </c>
      <c r="M545" t="s">
        <v>72</v>
      </c>
      <c r="N545">
        <v>0.05</v>
      </c>
      <c r="O545">
        <v>5.0000000000000044E-2</v>
      </c>
      <c r="P545">
        <v>48</v>
      </c>
      <c r="Q545">
        <v>0</v>
      </c>
    </row>
    <row r="546" spans="1:17" x14ac:dyDescent="0.2">
      <c r="A546" t="s">
        <v>651</v>
      </c>
      <c r="B546" t="s">
        <v>652</v>
      </c>
      <c r="C546" t="s">
        <v>653</v>
      </c>
      <c r="D546" s="8">
        <v>12605969</v>
      </c>
      <c r="E546" t="s">
        <v>66</v>
      </c>
      <c r="F546" t="s">
        <v>67</v>
      </c>
      <c r="G546" t="s">
        <v>68</v>
      </c>
      <c r="H546">
        <v>2</v>
      </c>
      <c r="I546">
        <v>37.5</v>
      </c>
      <c r="J546" t="s">
        <v>78</v>
      </c>
      <c r="K546" t="s">
        <v>70</v>
      </c>
      <c r="L546" t="s">
        <v>239</v>
      </c>
      <c r="M546" t="s">
        <v>72</v>
      </c>
      <c r="N546">
        <v>0.01</v>
      </c>
      <c r="O546">
        <v>1.0000000000000009E-2</v>
      </c>
      <c r="P546">
        <v>2</v>
      </c>
      <c r="Q546">
        <v>0</v>
      </c>
    </row>
    <row r="547" spans="1:17" x14ac:dyDescent="0.2">
      <c r="A547" t="s">
        <v>651</v>
      </c>
      <c r="B547" t="s">
        <v>652</v>
      </c>
      <c r="C547" t="s">
        <v>653</v>
      </c>
      <c r="D547" s="8">
        <v>12589940</v>
      </c>
      <c r="E547" t="s">
        <v>81</v>
      </c>
      <c r="F547" t="s">
        <v>67</v>
      </c>
      <c r="G547" t="s">
        <v>68</v>
      </c>
      <c r="H547">
        <v>3</v>
      </c>
      <c r="I547">
        <v>548.29999999999995</v>
      </c>
      <c r="J547" t="s">
        <v>78</v>
      </c>
      <c r="K547" t="s">
        <v>70</v>
      </c>
      <c r="L547" t="s">
        <v>239</v>
      </c>
      <c r="M547" t="s">
        <v>72</v>
      </c>
      <c r="N547">
        <v>0.17</v>
      </c>
      <c r="O547">
        <v>0.16999999999999993</v>
      </c>
      <c r="P547">
        <v>3</v>
      </c>
      <c r="Q547">
        <v>0</v>
      </c>
    </row>
    <row r="548" spans="1:17" x14ac:dyDescent="0.2">
      <c r="A548" t="s">
        <v>651</v>
      </c>
      <c r="B548" t="s">
        <v>652</v>
      </c>
      <c r="C548" t="s">
        <v>653</v>
      </c>
      <c r="D548" s="8">
        <v>12436421</v>
      </c>
      <c r="E548" t="s">
        <v>6</v>
      </c>
      <c r="F548" t="s">
        <v>67</v>
      </c>
      <c r="G548" t="s">
        <v>68</v>
      </c>
      <c r="H548">
        <v>8</v>
      </c>
      <c r="I548">
        <v>85.97</v>
      </c>
      <c r="J548" t="s">
        <v>78</v>
      </c>
      <c r="K548" t="s">
        <v>70</v>
      </c>
      <c r="L548" t="s">
        <v>239</v>
      </c>
      <c r="M548" t="s">
        <v>72</v>
      </c>
      <c r="N548">
        <v>0.04</v>
      </c>
      <c r="O548">
        <v>4.0000000000000036E-2</v>
      </c>
      <c r="P548">
        <v>8</v>
      </c>
      <c r="Q548">
        <v>0</v>
      </c>
    </row>
    <row r="549" spans="1:17" x14ac:dyDescent="0.2">
      <c r="A549" t="s">
        <v>651</v>
      </c>
      <c r="B549" t="s">
        <v>652</v>
      </c>
      <c r="C549" t="s">
        <v>653</v>
      </c>
      <c r="D549" s="8">
        <v>12604367</v>
      </c>
      <c r="E549" t="s">
        <v>82</v>
      </c>
      <c r="F549" t="s">
        <v>67</v>
      </c>
      <c r="G549" t="s">
        <v>68</v>
      </c>
      <c r="H549">
        <v>30</v>
      </c>
      <c r="I549">
        <v>248.36</v>
      </c>
      <c r="J549" t="s">
        <v>78</v>
      </c>
      <c r="K549" t="s">
        <v>70</v>
      </c>
      <c r="L549" t="s">
        <v>239</v>
      </c>
      <c r="M549" t="s">
        <v>72</v>
      </c>
      <c r="N549">
        <v>0.13</v>
      </c>
      <c r="O549">
        <v>0.12999999999999989</v>
      </c>
      <c r="P549">
        <v>30</v>
      </c>
      <c r="Q549">
        <v>0</v>
      </c>
    </row>
    <row r="550" spans="1:17" x14ac:dyDescent="0.2">
      <c r="A550" t="s">
        <v>651</v>
      </c>
      <c r="B550" t="s">
        <v>652</v>
      </c>
      <c r="C550" t="s">
        <v>653</v>
      </c>
      <c r="D550" s="8">
        <v>12575127</v>
      </c>
      <c r="E550" t="s">
        <v>13</v>
      </c>
      <c r="F550" t="s">
        <v>67</v>
      </c>
      <c r="G550" t="s">
        <v>68</v>
      </c>
      <c r="H550">
        <v>12</v>
      </c>
      <c r="I550">
        <v>103.97</v>
      </c>
      <c r="J550" t="s">
        <v>78</v>
      </c>
      <c r="K550" t="s">
        <v>70</v>
      </c>
      <c r="L550" t="s">
        <v>239</v>
      </c>
      <c r="M550" t="s">
        <v>72</v>
      </c>
      <c r="N550">
        <v>0.02</v>
      </c>
      <c r="O550">
        <v>2.0000000000000018E-2</v>
      </c>
      <c r="P550">
        <v>12</v>
      </c>
      <c r="Q550">
        <v>0</v>
      </c>
    </row>
    <row r="551" spans="1:17" x14ac:dyDescent="0.2">
      <c r="A551" t="s">
        <v>651</v>
      </c>
      <c r="B551" t="s">
        <v>652</v>
      </c>
      <c r="C551" t="s">
        <v>653</v>
      </c>
      <c r="D551" s="8">
        <v>12560070</v>
      </c>
      <c r="E551" t="s">
        <v>15</v>
      </c>
      <c r="F551" t="s">
        <v>67</v>
      </c>
      <c r="G551" t="s">
        <v>68</v>
      </c>
      <c r="H551">
        <v>8</v>
      </c>
      <c r="I551">
        <v>38.28</v>
      </c>
      <c r="J551" t="s">
        <v>78</v>
      </c>
      <c r="K551" t="s">
        <v>70</v>
      </c>
      <c r="L551" t="s">
        <v>239</v>
      </c>
      <c r="M551" t="s">
        <v>72</v>
      </c>
      <c r="N551">
        <v>0.01</v>
      </c>
      <c r="O551">
        <v>1.0000000000000009E-2</v>
      </c>
      <c r="P551">
        <v>8</v>
      </c>
      <c r="Q551">
        <v>0</v>
      </c>
    </row>
    <row r="552" spans="1:17" x14ac:dyDescent="0.2">
      <c r="A552" t="s">
        <v>654</v>
      </c>
      <c r="B552" t="s">
        <v>655</v>
      </c>
      <c r="C552" t="s">
        <v>656</v>
      </c>
      <c r="D552" s="8">
        <v>12613402</v>
      </c>
      <c r="E552" t="s">
        <v>73</v>
      </c>
      <c r="F552" t="s">
        <v>67</v>
      </c>
      <c r="G552" t="s">
        <v>68</v>
      </c>
      <c r="H552">
        <v>6</v>
      </c>
      <c r="I552">
        <v>18.32</v>
      </c>
      <c r="J552" t="s">
        <v>77</v>
      </c>
      <c r="K552" t="s">
        <v>70</v>
      </c>
      <c r="L552" t="s">
        <v>239</v>
      </c>
      <c r="M552" t="s">
        <v>72</v>
      </c>
      <c r="N552">
        <v>0.01</v>
      </c>
      <c r="O552">
        <v>1.0000000000000009E-2</v>
      </c>
      <c r="P552">
        <v>6</v>
      </c>
      <c r="Q552">
        <v>0</v>
      </c>
    </row>
    <row r="553" spans="1:17" x14ac:dyDescent="0.2">
      <c r="A553" t="s">
        <v>654</v>
      </c>
      <c r="B553" t="s">
        <v>655</v>
      </c>
      <c r="C553" t="s">
        <v>656</v>
      </c>
      <c r="D553" s="8">
        <v>12605969</v>
      </c>
      <c r="E553" t="s">
        <v>66</v>
      </c>
      <c r="F553" t="s">
        <v>67</v>
      </c>
      <c r="G553" t="s">
        <v>68</v>
      </c>
      <c r="H553">
        <v>1</v>
      </c>
      <c r="I553">
        <v>18.75</v>
      </c>
      <c r="J553" t="s">
        <v>77</v>
      </c>
      <c r="K553" t="s">
        <v>70</v>
      </c>
      <c r="L553" t="s">
        <v>239</v>
      </c>
      <c r="M553" t="s">
        <v>72</v>
      </c>
      <c r="N553">
        <v>0.01</v>
      </c>
      <c r="O553">
        <v>1.0000000000000009E-2</v>
      </c>
      <c r="P553">
        <v>1</v>
      </c>
      <c r="Q553">
        <v>0</v>
      </c>
    </row>
    <row r="554" spans="1:17" x14ac:dyDescent="0.2">
      <c r="A554" t="s">
        <v>654</v>
      </c>
      <c r="B554" t="s">
        <v>655</v>
      </c>
      <c r="C554" t="s">
        <v>656</v>
      </c>
      <c r="D554" s="8">
        <v>12605994</v>
      </c>
      <c r="E554" t="s">
        <v>85</v>
      </c>
      <c r="F554" t="s">
        <v>67</v>
      </c>
      <c r="G554" t="s">
        <v>68</v>
      </c>
      <c r="H554">
        <v>1</v>
      </c>
      <c r="I554">
        <v>18.75</v>
      </c>
      <c r="J554" t="s">
        <v>77</v>
      </c>
      <c r="K554" t="s">
        <v>70</v>
      </c>
      <c r="L554" t="s">
        <v>239</v>
      </c>
      <c r="M554" t="s">
        <v>72</v>
      </c>
      <c r="N554">
        <v>0.01</v>
      </c>
      <c r="O554">
        <v>1.0000000000000009E-2</v>
      </c>
      <c r="P554">
        <v>1</v>
      </c>
      <c r="Q554">
        <v>0</v>
      </c>
    </row>
    <row r="555" spans="1:17" x14ac:dyDescent="0.2">
      <c r="A555" t="s">
        <v>654</v>
      </c>
      <c r="B555" t="s">
        <v>655</v>
      </c>
      <c r="C555" t="s">
        <v>656</v>
      </c>
      <c r="D555" s="8">
        <v>12436421</v>
      </c>
      <c r="E555" t="s">
        <v>6</v>
      </c>
      <c r="F555" t="s">
        <v>67</v>
      </c>
      <c r="G555" t="s">
        <v>68</v>
      </c>
      <c r="H555">
        <v>4</v>
      </c>
      <c r="I555">
        <v>42.99</v>
      </c>
      <c r="J555" t="s">
        <v>77</v>
      </c>
      <c r="K555" t="s">
        <v>70</v>
      </c>
      <c r="L555" t="s">
        <v>239</v>
      </c>
      <c r="M555" t="s">
        <v>72</v>
      </c>
      <c r="N555">
        <v>0.02</v>
      </c>
      <c r="O555">
        <v>2.0000000000000018E-2</v>
      </c>
      <c r="P555">
        <v>4</v>
      </c>
      <c r="Q555">
        <v>0</v>
      </c>
    </row>
    <row r="556" spans="1:17" x14ac:dyDescent="0.2">
      <c r="A556" t="s">
        <v>654</v>
      </c>
      <c r="B556" t="s">
        <v>655</v>
      </c>
      <c r="C556" t="s">
        <v>656</v>
      </c>
      <c r="D556" s="8">
        <v>12560070</v>
      </c>
      <c r="E556" t="s">
        <v>15</v>
      </c>
      <c r="F556" t="s">
        <v>67</v>
      </c>
      <c r="G556" t="s">
        <v>68</v>
      </c>
      <c r="H556">
        <v>8</v>
      </c>
      <c r="I556">
        <v>38.28</v>
      </c>
      <c r="J556" t="s">
        <v>77</v>
      </c>
      <c r="K556" t="s">
        <v>70</v>
      </c>
      <c r="L556" t="s">
        <v>239</v>
      </c>
      <c r="M556" t="s">
        <v>72</v>
      </c>
      <c r="N556">
        <v>0.01</v>
      </c>
      <c r="O556">
        <v>1.0000000000000009E-2</v>
      </c>
      <c r="P556">
        <v>8</v>
      </c>
      <c r="Q556">
        <v>0</v>
      </c>
    </row>
    <row r="557" spans="1:17" x14ac:dyDescent="0.2">
      <c r="A557" t="s">
        <v>657</v>
      </c>
      <c r="B557" t="s">
        <v>658</v>
      </c>
      <c r="C557" t="s">
        <v>659</v>
      </c>
      <c r="D557" s="8">
        <v>12575101</v>
      </c>
      <c r="E557" t="s">
        <v>9</v>
      </c>
      <c r="F557" t="s">
        <v>67</v>
      </c>
      <c r="G557" t="s">
        <v>68</v>
      </c>
      <c r="H557">
        <v>1</v>
      </c>
      <c r="I557">
        <v>239.34</v>
      </c>
      <c r="J557" t="s">
        <v>77</v>
      </c>
      <c r="K557" t="s">
        <v>70</v>
      </c>
      <c r="L557" t="s">
        <v>239</v>
      </c>
      <c r="M557" t="s">
        <v>72</v>
      </c>
      <c r="N557">
        <v>0.06</v>
      </c>
      <c r="O557">
        <v>6.0000000000000053E-2</v>
      </c>
      <c r="P557">
        <v>1</v>
      </c>
      <c r="Q557">
        <v>0</v>
      </c>
    </row>
    <row r="558" spans="1:17" x14ac:dyDescent="0.2">
      <c r="A558" t="s">
        <v>660</v>
      </c>
      <c r="B558" t="s">
        <v>658</v>
      </c>
      <c r="C558" t="s">
        <v>659</v>
      </c>
      <c r="D558" s="8">
        <v>12613402</v>
      </c>
      <c r="E558" t="s">
        <v>73</v>
      </c>
      <c r="F558" t="s">
        <v>67</v>
      </c>
      <c r="G558" t="s">
        <v>68</v>
      </c>
      <c r="H558">
        <v>6</v>
      </c>
      <c r="I558">
        <v>18.32</v>
      </c>
      <c r="J558" t="s">
        <v>77</v>
      </c>
      <c r="K558" t="s">
        <v>70</v>
      </c>
      <c r="L558" t="s">
        <v>239</v>
      </c>
      <c r="M558" t="s">
        <v>72</v>
      </c>
      <c r="N558">
        <v>0.01</v>
      </c>
      <c r="O558">
        <v>1.0000000000000009E-2</v>
      </c>
      <c r="P558">
        <v>6</v>
      </c>
      <c r="Q558">
        <v>0</v>
      </c>
    </row>
    <row r="559" spans="1:17" x14ac:dyDescent="0.2">
      <c r="A559" t="s">
        <v>660</v>
      </c>
      <c r="B559" t="s">
        <v>658</v>
      </c>
      <c r="C559" t="s">
        <v>659</v>
      </c>
      <c r="D559" s="8">
        <v>12605969</v>
      </c>
      <c r="E559" t="s">
        <v>66</v>
      </c>
      <c r="F559" t="s">
        <v>67</v>
      </c>
      <c r="G559" t="s">
        <v>68</v>
      </c>
      <c r="H559">
        <v>1</v>
      </c>
      <c r="I559">
        <v>18.75</v>
      </c>
      <c r="J559" t="s">
        <v>77</v>
      </c>
      <c r="K559" t="s">
        <v>70</v>
      </c>
      <c r="L559" t="s">
        <v>239</v>
      </c>
      <c r="M559" t="s">
        <v>72</v>
      </c>
      <c r="N559">
        <v>0.01</v>
      </c>
      <c r="O559">
        <v>1.0000000000000009E-2</v>
      </c>
      <c r="P559">
        <v>1</v>
      </c>
      <c r="Q559">
        <v>0</v>
      </c>
    </row>
    <row r="560" spans="1:17" x14ac:dyDescent="0.2">
      <c r="A560" t="s">
        <v>660</v>
      </c>
      <c r="B560" t="s">
        <v>658</v>
      </c>
      <c r="C560" t="s">
        <v>659</v>
      </c>
      <c r="D560" s="8">
        <v>12605994</v>
      </c>
      <c r="E560" t="s">
        <v>85</v>
      </c>
      <c r="F560" t="s">
        <v>67</v>
      </c>
      <c r="G560" t="s">
        <v>68</v>
      </c>
      <c r="H560">
        <v>1</v>
      </c>
      <c r="I560">
        <v>18.75</v>
      </c>
      <c r="J560" t="s">
        <v>77</v>
      </c>
      <c r="K560" t="s">
        <v>70</v>
      </c>
      <c r="L560" t="s">
        <v>239</v>
      </c>
      <c r="M560" t="s">
        <v>72</v>
      </c>
      <c r="N560">
        <v>0.01</v>
      </c>
      <c r="O560">
        <v>1.0000000000000009E-2</v>
      </c>
      <c r="P560">
        <v>1</v>
      </c>
      <c r="Q560">
        <v>0</v>
      </c>
    </row>
    <row r="561" spans="1:17" x14ac:dyDescent="0.2">
      <c r="A561" t="s">
        <v>660</v>
      </c>
      <c r="B561" t="s">
        <v>658</v>
      </c>
      <c r="C561" t="s">
        <v>659</v>
      </c>
      <c r="D561" s="8">
        <v>12623528</v>
      </c>
      <c r="E561" t="s">
        <v>274</v>
      </c>
      <c r="F561" t="s">
        <v>67</v>
      </c>
      <c r="G561" t="s">
        <v>68</v>
      </c>
      <c r="H561">
        <v>8</v>
      </c>
      <c r="I561">
        <v>112.55</v>
      </c>
      <c r="J561" t="s">
        <v>77</v>
      </c>
      <c r="K561" t="s">
        <v>70</v>
      </c>
      <c r="L561" t="s">
        <v>239</v>
      </c>
      <c r="M561" t="s">
        <v>72</v>
      </c>
      <c r="N561">
        <v>0.04</v>
      </c>
      <c r="O561">
        <v>4.0000000000000036E-2</v>
      </c>
      <c r="P561">
        <v>8</v>
      </c>
      <c r="Q561">
        <v>0</v>
      </c>
    </row>
    <row r="562" spans="1:17" x14ac:dyDescent="0.2">
      <c r="A562" t="s">
        <v>661</v>
      </c>
      <c r="B562" t="s">
        <v>662</v>
      </c>
      <c r="C562" t="s">
        <v>663</v>
      </c>
      <c r="D562" s="8">
        <v>12613402</v>
      </c>
      <c r="E562" t="s">
        <v>73</v>
      </c>
      <c r="F562" t="s">
        <v>67</v>
      </c>
      <c r="G562" t="s">
        <v>68</v>
      </c>
      <c r="H562">
        <v>6</v>
      </c>
      <c r="I562">
        <v>18.32</v>
      </c>
      <c r="J562" t="s">
        <v>77</v>
      </c>
      <c r="K562" t="s">
        <v>70</v>
      </c>
      <c r="L562" t="s">
        <v>239</v>
      </c>
      <c r="M562" t="s">
        <v>72</v>
      </c>
      <c r="N562">
        <v>0.01</v>
      </c>
      <c r="O562">
        <v>1.0000000000000009E-2</v>
      </c>
      <c r="P562">
        <v>6</v>
      </c>
      <c r="Q562">
        <v>0</v>
      </c>
    </row>
    <row r="563" spans="1:17" x14ac:dyDescent="0.2">
      <c r="A563" t="s">
        <v>661</v>
      </c>
      <c r="B563" t="s">
        <v>662</v>
      </c>
      <c r="C563" t="s">
        <v>663</v>
      </c>
      <c r="D563" s="8">
        <v>12605969</v>
      </c>
      <c r="E563" t="s">
        <v>66</v>
      </c>
      <c r="F563" t="s">
        <v>67</v>
      </c>
      <c r="G563" t="s">
        <v>68</v>
      </c>
      <c r="H563">
        <v>1</v>
      </c>
      <c r="I563">
        <v>18.75</v>
      </c>
      <c r="J563" t="s">
        <v>77</v>
      </c>
      <c r="K563" t="s">
        <v>70</v>
      </c>
      <c r="L563" t="s">
        <v>239</v>
      </c>
      <c r="M563" t="s">
        <v>72</v>
      </c>
      <c r="N563">
        <v>0.01</v>
      </c>
      <c r="O563">
        <v>1.0000000000000009E-2</v>
      </c>
      <c r="P563">
        <v>1</v>
      </c>
      <c r="Q563">
        <v>0</v>
      </c>
    </row>
    <row r="564" spans="1:17" x14ac:dyDescent="0.2">
      <c r="A564" t="s">
        <v>661</v>
      </c>
      <c r="B564" t="s">
        <v>662</v>
      </c>
      <c r="C564" t="s">
        <v>663</v>
      </c>
      <c r="D564" s="8">
        <v>12605994</v>
      </c>
      <c r="E564" t="s">
        <v>85</v>
      </c>
      <c r="F564" t="s">
        <v>67</v>
      </c>
      <c r="G564" t="s">
        <v>68</v>
      </c>
      <c r="H564">
        <v>1</v>
      </c>
      <c r="I564">
        <v>18.75</v>
      </c>
      <c r="J564" t="s">
        <v>77</v>
      </c>
      <c r="K564" t="s">
        <v>70</v>
      </c>
      <c r="L564" t="s">
        <v>239</v>
      </c>
      <c r="M564" t="s">
        <v>72</v>
      </c>
      <c r="N564">
        <v>0.01</v>
      </c>
      <c r="O564">
        <v>1.0000000000000009E-2</v>
      </c>
      <c r="P564">
        <v>1</v>
      </c>
      <c r="Q564">
        <v>0</v>
      </c>
    </row>
    <row r="565" spans="1:17" x14ac:dyDescent="0.2">
      <c r="A565" t="s">
        <v>661</v>
      </c>
      <c r="B565" t="s">
        <v>662</v>
      </c>
      <c r="C565" t="s">
        <v>663</v>
      </c>
      <c r="D565" s="8">
        <v>12560070</v>
      </c>
      <c r="E565" t="s">
        <v>15</v>
      </c>
      <c r="F565" t="s">
        <v>67</v>
      </c>
      <c r="G565" t="s">
        <v>68</v>
      </c>
      <c r="H565">
        <v>8</v>
      </c>
      <c r="I565">
        <v>38.28</v>
      </c>
      <c r="J565" t="s">
        <v>77</v>
      </c>
      <c r="K565" t="s">
        <v>70</v>
      </c>
      <c r="L565" t="s">
        <v>239</v>
      </c>
      <c r="M565" t="s">
        <v>72</v>
      </c>
      <c r="N565">
        <v>0.01</v>
      </c>
      <c r="O565">
        <v>1.0000000000000009E-2</v>
      </c>
      <c r="P565">
        <v>8</v>
      </c>
      <c r="Q565">
        <v>0</v>
      </c>
    </row>
    <row r="566" spans="1:17" x14ac:dyDescent="0.2">
      <c r="A566" t="s">
        <v>664</v>
      </c>
      <c r="B566" t="s">
        <v>665</v>
      </c>
      <c r="C566" t="s">
        <v>666</v>
      </c>
      <c r="D566" s="8">
        <v>12623528</v>
      </c>
      <c r="E566" t="s">
        <v>274</v>
      </c>
      <c r="F566" t="s">
        <v>67</v>
      </c>
      <c r="G566" t="s">
        <v>68</v>
      </c>
      <c r="H566">
        <v>8</v>
      </c>
      <c r="I566">
        <v>112.55</v>
      </c>
      <c r="J566" t="s">
        <v>77</v>
      </c>
      <c r="K566" t="s">
        <v>70</v>
      </c>
      <c r="L566" t="s">
        <v>239</v>
      </c>
      <c r="M566" t="s">
        <v>72</v>
      </c>
      <c r="N566">
        <v>0.04</v>
      </c>
      <c r="O566">
        <v>4.0000000000000036E-2</v>
      </c>
      <c r="P566">
        <v>8</v>
      </c>
      <c r="Q566">
        <v>0</v>
      </c>
    </row>
    <row r="567" spans="1:17" x14ac:dyDescent="0.2">
      <c r="A567" t="s">
        <v>667</v>
      </c>
      <c r="B567" t="s">
        <v>668</v>
      </c>
      <c r="C567" t="s">
        <v>669</v>
      </c>
      <c r="D567" s="8">
        <v>12436421</v>
      </c>
      <c r="E567" t="s">
        <v>6</v>
      </c>
      <c r="F567" t="s">
        <v>67</v>
      </c>
      <c r="G567" t="s">
        <v>68</v>
      </c>
      <c r="H567">
        <v>8</v>
      </c>
      <c r="I567">
        <v>85.97</v>
      </c>
      <c r="J567" t="s">
        <v>77</v>
      </c>
      <c r="K567" t="s">
        <v>70</v>
      </c>
      <c r="L567" t="s">
        <v>239</v>
      </c>
      <c r="M567" t="s">
        <v>72</v>
      </c>
      <c r="N567">
        <v>0.04</v>
      </c>
      <c r="O567">
        <v>4.0000000000000036E-2</v>
      </c>
      <c r="P567">
        <v>8</v>
      </c>
      <c r="Q567">
        <v>0</v>
      </c>
    </row>
    <row r="568" spans="1:17" x14ac:dyDescent="0.2">
      <c r="A568" t="s">
        <v>670</v>
      </c>
      <c r="B568" t="s">
        <v>671</v>
      </c>
      <c r="C568" t="s">
        <v>672</v>
      </c>
      <c r="D568" s="8">
        <v>12575101</v>
      </c>
      <c r="E568" t="s">
        <v>9</v>
      </c>
      <c r="F568" t="s">
        <v>67</v>
      </c>
      <c r="G568" t="s">
        <v>68</v>
      </c>
      <c r="H568">
        <v>3</v>
      </c>
      <c r="I568">
        <v>718.01</v>
      </c>
      <c r="J568" t="s">
        <v>77</v>
      </c>
      <c r="K568" t="s">
        <v>70</v>
      </c>
      <c r="L568" t="s">
        <v>239</v>
      </c>
      <c r="M568" t="s">
        <v>72</v>
      </c>
      <c r="N568">
        <v>0.17</v>
      </c>
      <c r="O568">
        <v>0.16999999999999993</v>
      </c>
      <c r="P568">
        <v>3</v>
      </c>
      <c r="Q568">
        <v>0</v>
      </c>
    </row>
    <row r="569" spans="1:17" x14ac:dyDescent="0.2">
      <c r="A569" t="s">
        <v>673</v>
      </c>
      <c r="B569" t="s">
        <v>671</v>
      </c>
      <c r="C569" t="s">
        <v>672</v>
      </c>
      <c r="D569" s="8">
        <v>12436421</v>
      </c>
      <c r="E569" t="s">
        <v>6</v>
      </c>
      <c r="F569" t="s">
        <v>67</v>
      </c>
      <c r="G569" t="s">
        <v>68</v>
      </c>
      <c r="H569">
        <v>8</v>
      </c>
      <c r="I569">
        <v>85.97</v>
      </c>
      <c r="J569" t="s">
        <v>77</v>
      </c>
      <c r="K569" t="s">
        <v>70</v>
      </c>
      <c r="L569" t="s">
        <v>239</v>
      </c>
      <c r="M569" t="s">
        <v>72</v>
      </c>
      <c r="N569">
        <v>0.04</v>
      </c>
      <c r="O569">
        <v>4.0000000000000036E-2</v>
      </c>
      <c r="P569">
        <v>8</v>
      </c>
      <c r="Q569">
        <v>0</v>
      </c>
    </row>
    <row r="570" spans="1:17" x14ac:dyDescent="0.2">
      <c r="A570" t="s">
        <v>674</v>
      </c>
      <c r="B570" t="s">
        <v>675</v>
      </c>
      <c r="C570" t="s">
        <v>152</v>
      </c>
      <c r="D570" s="8">
        <v>12613402</v>
      </c>
      <c r="E570" t="s">
        <v>73</v>
      </c>
      <c r="F570" t="s">
        <v>67</v>
      </c>
      <c r="G570" t="s">
        <v>68</v>
      </c>
      <c r="H570">
        <v>48</v>
      </c>
      <c r="I570">
        <v>146.63</v>
      </c>
      <c r="J570" t="s">
        <v>78</v>
      </c>
      <c r="K570" t="s">
        <v>70</v>
      </c>
      <c r="L570" t="s">
        <v>239</v>
      </c>
      <c r="M570" t="s">
        <v>72</v>
      </c>
      <c r="N570">
        <v>0.05</v>
      </c>
      <c r="O570">
        <v>5.0000000000000044E-2</v>
      </c>
      <c r="P570">
        <v>48</v>
      </c>
      <c r="Q570">
        <v>0</v>
      </c>
    </row>
    <row r="571" spans="1:17" x14ac:dyDescent="0.2">
      <c r="A571" t="s">
        <v>674</v>
      </c>
      <c r="B571" t="s">
        <v>675</v>
      </c>
      <c r="C571" t="s">
        <v>152</v>
      </c>
      <c r="D571" s="8">
        <v>12605994</v>
      </c>
      <c r="E571" t="s">
        <v>85</v>
      </c>
      <c r="F571" t="s">
        <v>67</v>
      </c>
      <c r="G571" t="s">
        <v>68</v>
      </c>
      <c r="H571">
        <v>6</v>
      </c>
      <c r="I571">
        <v>112.5</v>
      </c>
      <c r="J571" t="s">
        <v>78</v>
      </c>
      <c r="K571" t="s">
        <v>70</v>
      </c>
      <c r="L571" t="s">
        <v>239</v>
      </c>
      <c r="M571" t="s">
        <v>72</v>
      </c>
      <c r="N571">
        <v>0.04</v>
      </c>
      <c r="O571">
        <v>4.0000000000000036E-2</v>
      </c>
      <c r="P571">
        <v>6</v>
      </c>
      <c r="Q571">
        <v>0</v>
      </c>
    </row>
    <row r="572" spans="1:17" x14ac:dyDescent="0.2">
      <c r="A572" t="s">
        <v>674</v>
      </c>
      <c r="B572" t="s">
        <v>675</v>
      </c>
      <c r="C572" t="s">
        <v>152</v>
      </c>
      <c r="D572" s="8">
        <v>12436421</v>
      </c>
      <c r="E572" t="s">
        <v>6</v>
      </c>
      <c r="F572" t="s">
        <v>67</v>
      </c>
      <c r="G572" t="s">
        <v>68</v>
      </c>
      <c r="H572">
        <v>64</v>
      </c>
      <c r="I572">
        <v>687.77</v>
      </c>
      <c r="J572" t="s">
        <v>78</v>
      </c>
      <c r="K572" t="s">
        <v>70</v>
      </c>
      <c r="L572" t="s">
        <v>239</v>
      </c>
      <c r="M572" t="s">
        <v>72</v>
      </c>
      <c r="N572">
        <v>0.33</v>
      </c>
      <c r="O572">
        <v>0.33000000000000007</v>
      </c>
      <c r="P572">
        <v>64</v>
      </c>
      <c r="Q572">
        <v>0</v>
      </c>
    </row>
    <row r="573" spans="1:17" x14ac:dyDescent="0.2">
      <c r="A573" t="s">
        <v>674</v>
      </c>
      <c r="B573" t="s">
        <v>675</v>
      </c>
      <c r="C573" t="s">
        <v>152</v>
      </c>
      <c r="D573" s="8">
        <v>12575127</v>
      </c>
      <c r="E573" t="s">
        <v>13</v>
      </c>
      <c r="F573" t="s">
        <v>67</v>
      </c>
      <c r="G573" t="s">
        <v>68</v>
      </c>
      <c r="H573">
        <v>12</v>
      </c>
      <c r="I573">
        <v>103.97</v>
      </c>
      <c r="J573" t="s">
        <v>78</v>
      </c>
      <c r="K573" t="s">
        <v>70</v>
      </c>
      <c r="L573" t="s">
        <v>239</v>
      </c>
      <c r="M573" t="s">
        <v>72</v>
      </c>
      <c r="N573">
        <v>0.02</v>
      </c>
      <c r="O573">
        <v>2.0000000000000018E-2</v>
      </c>
      <c r="P573">
        <v>12</v>
      </c>
      <c r="Q573">
        <v>0</v>
      </c>
    </row>
    <row r="574" spans="1:17" x14ac:dyDescent="0.2">
      <c r="A574" t="s">
        <v>676</v>
      </c>
      <c r="B574" t="s">
        <v>677</v>
      </c>
      <c r="C574" t="s">
        <v>678</v>
      </c>
      <c r="D574" s="8">
        <v>12613402</v>
      </c>
      <c r="E574" t="s">
        <v>73</v>
      </c>
      <c r="F574" t="s">
        <v>67</v>
      </c>
      <c r="G574" t="s">
        <v>68</v>
      </c>
      <c r="H574">
        <v>48</v>
      </c>
      <c r="I574">
        <v>146.63</v>
      </c>
      <c r="J574" t="s">
        <v>78</v>
      </c>
      <c r="K574" t="s">
        <v>70</v>
      </c>
      <c r="L574" t="s">
        <v>239</v>
      </c>
      <c r="M574" t="s">
        <v>72</v>
      </c>
      <c r="N574">
        <v>0.05</v>
      </c>
      <c r="O574">
        <v>5.0000000000000044E-2</v>
      </c>
      <c r="P574">
        <v>48</v>
      </c>
      <c r="Q574">
        <v>0</v>
      </c>
    </row>
    <row r="575" spans="1:17" x14ac:dyDescent="0.2">
      <c r="A575" t="s">
        <v>676</v>
      </c>
      <c r="B575" t="s">
        <v>677</v>
      </c>
      <c r="C575" t="s">
        <v>678</v>
      </c>
      <c r="D575" s="8">
        <v>13176910</v>
      </c>
      <c r="E575" t="s">
        <v>103</v>
      </c>
      <c r="F575" t="s">
        <v>67</v>
      </c>
      <c r="G575" t="s">
        <v>68</v>
      </c>
      <c r="H575">
        <v>2</v>
      </c>
      <c r="I575">
        <v>189.99</v>
      </c>
      <c r="J575" t="s">
        <v>78</v>
      </c>
      <c r="K575" t="s">
        <v>70</v>
      </c>
      <c r="L575" t="s">
        <v>239</v>
      </c>
      <c r="M575" t="s">
        <v>72</v>
      </c>
      <c r="N575">
        <v>0.11</v>
      </c>
      <c r="O575">
        <v>0.1100000000000001</v>
      </c>
      <c r="P575">
        <v>2</v>
      </c>
      <c r="Q575">
        <v>0</v>
      </c>
    </row>
    <row r="576" spans="1:17" x14ac:dyDescent="0.2">
      <c r="A576" t="s">
        <v>676</v>
      </c>
      <c r="B576" t="s">
        <v>677</v>
      </c>
      <c r="C576" t="s">
        <v>678</v>
      </c>
      <c r="D576" s="8">
        <v>12436421</v>
      </c>
      <c r="E576" t="s">
        <v>6</v>
      </c>
      <c r="F576" t="s">
        <v>67</v>
      </c>
      <c r="G576" t="s">
        <v>68</v>
      </c>
      <c r="H576">
        <v>24</v>
      </c>
      <c r="I576">
        <v>257.91000000000003</v>
      </c>
      <c r="J576" t="s">
        <v>78</v>
      </c>
      <c r="K576" t="s">
        <v>70</v>
      </c>
      <c r="L576" t="s">
        <v>239</v>
      </c>
      <c r="M576" t="s">
        <v>72</v>
      </c>
      <c r="N576">
        <v>0.13</v>
      </c>
      <c r="O576">
        <v>0.12999999999999989</v>
      </c>
      <c r="P576">
        <v>24</v>
      </c>
      <c r="Q576">
        <v>0</v>
      </c>
    </row>
    <row r="577" spans="1:17" x14ac:dyDescent="0.2">
      <c r="A577" t="s">
        <v>676</v>
      </c>
      <c r="B577" t="s">
        <v>677</v>
      </c>
      <c r="C577" t="s">
        <v>678</v>
      </c>
      <c r="D577" s="8">
        <v>12604368</v>
      </c>
      <c r="E577" t="s">
        <v>74</v>
      </c>
      <c r="F577" t="s">
        <v>67</v>
      </c>
      <c r="G577" t="s">
        <v>68</v>
      </c>
      <c r="H577">
        <v>20</v>
      </c>
      <c r="I577">
        <v>269.07</v>
      </c>
      <c r="J577" t="s">
        <v>78</v>
      </c>
      <c r="K577" t="s">
        <v>70</v>
      </c>
      <c r="L577" t="s">
        <v>239</v>
      </c>
      <c r="M577" t="s">
        <v>72</v>
      </c>
      <c r="N577">
        <v>0.1</v>
      </c>
      <c r="O577">
        <v>0.10000000000000009</v>
      </c>
      <c r="P577">
        <v>20</v>
      </c>
      <c r="Q577">
        <v>0</v>
      </c>
    </row>
    <row r="578" spans="1:17" x14ac:dyDescent="0.2">
      <c r="A578" t="s">
        <v>676</v>
      </c>
      <c r="B578" t="s">
        <v>677</v>
      </c>
      <c r="C578" t="s">
        <v>678</v>
      </c>
      <c r="D578" s="8">
        <v>12604377</v>
      </c>
      <c r="E578" t="s">
        <v>93</v>
      </c>
      <c r="F578" t="s">
        <v>67</v>
      </c>
      <c r="G578" t="s">
        <v>68</v>
      </c>
      <c r="H578">
        <v>20</v>
      </c>
      <c r="I578">
        <v>269.07</v>
      </c>
      <c r="J578" t="s">
        <v>78</v>
      </c>
      <c r="K578" t="s">
        <v>70</v>
      </c>
      <c r="L578" t="s">
        <v>239</v>
      </c>
      <c r="M578" t="s">
        <v>72</v>
      </c>
      <c r="N578">
        <v>0.1</v>
      </c>
      <c r="O578">
        <v>0.10000000000000009</v>
      </c>
      <c r="P578">
        <v>20</v>
      </c>
      <c r="Q578">
        <v>0</v>
      </c>
    </row>
    <row r="579" spans="1:17" x14ac:dyDescent="0.2">
      <c r="A579" t="s">
        <v>676</v>
      </c>
      <c r="B579" t="s">
        <v>677</v>
      </c>
      <c r="C579" t="s">
        <v>678</v>
      </c>
      <c r="D579" s="8">
        <v>12575135</v>
      </c>
      <c r="E579" t="s">
        <v>141</v>
      </c>
      <c r="F579" t="s">
        <v>67</v>
      </c>
      <c r="G579" t="s">
        <v>68</v>
      </c>
      <c r="H579">
        <v>24</v>
      </c>
      <c r="I579">
        <v>403</v>
      </c>
      <c r="J579" t="s">
        <v>78</v>
      </c>
      <c r="K579" t="s">
        <v>70</v>
      </c>
      <c r="L579" t="s">
        <v>239</v>
      </c>
      <c r="M579" t="s">
        <v>72</v>
      </c>
      <c r="N579">
        <v>0.09</v>
      </c>
      <c r="O579">
        <v>9.000000000000008E-2</v>
      </c>
      <c r="P579">
        <v>24</v>
      </c>
      <c r="Q579">
        <v>0</v>
      </c>
    </row>
    <row r="580" spans="1:17" x14ac:dyDescent="0.2">
      <c r="A580" t="s">
        <v>676</v>
      </c>
      <c r="B580" t="s">
        <v>677</v>
      </c>
      <c r="C580" t="s">
        <v>678</v>
      </c>
      <c r="D580" s="8">
        <v>12618906</v>
      </c>
      <c r="E580" t="s">
        <v>105</v>
      </c>
      <c r="F580" t="s">
        <v>67</v>
      </c>
      <c r="G580" t="s">
        <v>68</v>
      </c>
      <c r="H580">
        <v>2</v>
      </c>
      <c r="I580">
        <v>236.98</v>
      </c>
      <c r="J580" t="s">
        <v>78</v>
      </c>
      <c r="K580" t="s">
        <v>70</v>
      </c>
      <c r="L580" t="s">
        <v>239</v>
      </c>
      <c r="M580" t="s">
        <v>72</v>
      </c>
      <c r="N580">
        <v>0.33</v>
      </c>
      <c r="O580">
        <v>0.33000000000000007</v>
      </c>
      <c r="P580">
        <v>2</v>
      </c>
      <c r="Q580">
        <v>0</v>
      </c>
    </row>
    <row r="581" spans="1:17" x14ac:dyDescent="0.2">
      <c r="A581" t="s">
        <v>676</v>
      </c>
      <c r="B581" t="s">
        <v>677</v>
      </c>
      <c r="C581" t="s">
        <v>678</v>
      </c>
      <c r="D581" s="8">
        <v>12560070</v>
      </c>
      <c r="E581" t="s">
        <v>15</v>
      </c>
      <c r="F581" t="s">
        <v>67</v>
      </c>
      <c r="G581" t="s">
        <v>68</v>
      </c>
      <c r="H581">
        <v>48</v>
      </c>
      <c r="I581">
        <v>229.68</v>
      </c>
      <c r="J581" t="s">
        <v>78</v>
      </c>
      <c r="K581" t="s">
        <v>70</v>
      </c>
      <c r="L581" t="s">
        <v>239</v>
      </c>
      <c r="M581" t="s">
        <v>72</v>
      </c>
      <c r="N581">
        <v>0.05</v>
      </c>
      <c r="O581">
        <v>5.0000000000000044E-2</v>
      </c>
      <c r="P581">
        <v>48</v>
      </c>
      <c r="Q581">
        <v>0</v>
      </c>
    </row>
    <row r="582" spans="1:17" x14ac:dyDescent="0.2">
      <c r="A582" t="s">
        <v>679</v>
      </c>
      <c r="B582" t="s">
        <v>680</v>
      </c>
      <c r="C582" t="s">
        <v>681</v>
      </c>
      <c r="D582" s="8">
        <v>43564</v>
      </c>
      <c r="E582" t="s">
        <v>97</v>
      </c>
      <c r="F582" t="s">
        <v>67</v>
      </c>
      <c r="G582" t="s">
        <v>68</v>
      </c>
      <c r="H582">
        <v>2</v>
      </c>
      <c r="I582">
        <v>134.53</v>
      </c>
      <c r="J582" t="s">
        <v>78</v>
      </c>
      <c r="K582" t="s">
        <v>70</v>
      </c>
      <c r="L582" t="s">
        <v>239</v>
      </c>
      <c r="M582" t="s">
        <v>72</v>
      </c>
      <c r="N582">
        <v>2</v>
      </c>
      <c r="O582">
        <v>0</v>
      </c>
      <c r="P582">
        <v>0</v>
      </c>
      <c r="Q582">
        <v>2</v>
      </c>
    </row>
    <row r="583" spans="1:17" x14ac:dyDescent="0.2">
      <c r="A583" t="s">
        <v>682</v>
      </c>
      <c r="B583" t="s">
        <v>683</v>
      </c>
      <c r="C583" t="s">
        <v>684</v>
      </c>
      <c r="D583" s="8">
        <v>12575101</v>
      </c>
      <c r="E583" t="s">
        <v>9</v>
      </c>
      <c r="F583" t="s">
        <v>67</v>
      </c>
      <c r="G583" t="s">
        <v>68</v>
      </c>
      <c r="H583">
        <v>1</v>
      </c>
      <c r="I583">
        <v>239.34</v>
      </c>
      <c r="J583" t="s">
        <v>77</v>
      </c>
      <c r="K583" t="s">
        <v>70</v>
      </c>
      <c r="L583" t="s">
        <v>239</v>
      </c>
      <c r="M583" t="s">
        <v>72</v>
      </c>
      <c r="N583">
        <v>0.06</v>
      </c>
      <c r="O583">
        <v>6.0000000000000053E-2</v>
      </c>
      <c r="P583">
        <v>1</v>
      </c>
      <c r="Q583">
        <v>0</v>
      </c>
    </row>
    <row r="584" spans="1:17" x14ac:dyDescent="0.2">
      <c r="A584" t="s">
        <v>685</v>
      </c>
      <c r="B584" t="s">
        <v>683</v>
      </c>
      <c r="C584" t="s">
        <v>684</v>
      </c>
      <c r="D584" s="8">
        <v>12604367</v>
      </c>
      <c r="E584" t="s">
        <v>82</v>
      </c>
      <c r="F584" t="s">
        <v>67</v>
      </c>
      <c r="G584" t="s">
        <v>68</v>
      </c>
      <c r="H584">
        <v>10</v>
      </c>
      <c r="I584">
        <v>82.79</v>
      </c>
      <c r="J584" t="s">
        <v>77</v>
      </c>
      <c r="K584" t="s">
        <v>70</v>
      </c>
      <c r="L584" t="s">
        <v>239</v>
      </c>
      <c r="M584" t="s">
        <v>72</v>
      </c>
      <c r="N584">
        <v>0.04</v>
      </c>
      <c r="O584">
        <v>4.0000000000000036E-2</v>
      </c>
      <c r="P584">
        <v>10</v>
      </c>
      <c r="Q584">
        <v>0</v>
      </c>
    </row>
    <row r="585" spans="1:17" x14ac:dyDescent="0.2">
      <c r="A585" t="s">
        <v>686</v>
      </c>
      <c r="B585" t="s">
        <v>687</v>
      </c>
      <c r="C585" t="s">
        <v>688</v>
      </c>
      <c r="D585" s="8">
        <v>12575101</v>
      </c>
      <c r="E585" t="s">
        <v>9</v>
      </c>
      <c r="F585" t="s">
        <v>67</v>
      </c>
      <c r="G585" t="s">
        <v>68</v>
      </c>
      <c r="H585">
        <v>1</v>
      </c>
      <c r="I585">
        <v>239.34</v>
      </c>
      <c r="J585" t="s">
        <v>77</v>
      </c>
      <c r="K585" t="s">
        <v>70</v>
      </c>
      <c r="L585" t="s">
        <v>239</v>
      </c>
      <c r="M585" t="s">
        <v>72</v>
      </c>
      <c r="N585">
        <v>0.06</v>
      </c>
      <c r="O585">
        <v>6.0000000000000053E-2</v>
      </c>
      <c r="P585">
        <v>1</v>
      </c>
      <c r="Q585">
        <v>0</v>
      </c>
    </row>
    <row r="586" spans="1:17" x14ac:dyDescent="0.2">
      <c r="A586" t="s">
        <v>689</v>
      </c>
      <c r="B586" t="s">
        <v>687</v>
      </c>
      <c r="C586" t="s">
        <v>688</v>
      </c>
      <c r="D586" s="8">
        <v>12605969</v>
      </c>
      <c r="E586" t="s">
        <v>66</v>
      </c>
      <c r="F586" t="s">
        <v>67</v>
      </c>
      <c r="G586" t="s">
        <v>68</v>
      </c>
      <c r="H586">
        <v>1</v>
      </c>
      <c r="I586">
        <v>18.75</v>
      </c>
      <c r="J586" t="s">
        <v>77</v>
      </c>
      <c r="K586" t="s">
        <v>70</v>
      </c>
      <c r="L586" t="s">
        <v>239</v>
      </c>
      <c r="M586" t="s">
        <v>72</v>
      </c>
      <c r="N586">
        <v>0.01</v>
      </c>
      <c r="O586">
        <v>1.0000000000000009E-2</v>
      </c>
      <c r="P586">
        <v>1</v>
      </c>
      <c r="Q586">
        <v>0</v>
      </c>
    </row>
    <row r="587" spans="1:17" x14ac:dyDescent="0.2">
      <c r="A587" t="s">
        <v>689</v>
      </c>
      <c r="B587" t="s">
        <v>687</v>
      </c>
      <c r="C587" t="s">
        <v>688</v>
      </c>
      <c r="D587" s="8">
        <v>12605994</v>
      </c>
      <c r="E587" t="s">
        <v>85</v>
      </c>
      <c r="F587" t="s">
        <v>67</v>
      </c>
      <c r="G587" t="s">
        <v>68</v>
      </c>
      <c r="H587">
        <v>1</v>
      </c>
      <c r="I587">
        <v>18.75</v>
      </c>
      <c r="J587" t="s">
        <v>77</v>
      </c>
      <c r="K587" t="s">
        <v>70</v>
      </c>
      <c r="L587" t="s">
        <v>239</v>
      </c>
      <c r="M587" t="s">
        <v>72</v>
      </c>
      <c r="N587">
        <v>0.01</v>
      </c>
      <c r="O587">
        <v>1.0000000000000009E-2</v>
      </c>
      <c r="P587">
        <v>1</v>
      </c>
      <c r="Q587">
        <v>0</v>
      </c>
    </row>
    <row r="588" spans="1:17" x14ac:dyDescent="0.2">
      <c r="A588" t="s">
        <v>689</v>
      </c>
      <c r="B588" t="s">
        <v>687</v>
      </c>
      <c r="C588" t="s">
        <v>688</v>
      </c>
      <c r="D588" s="8">
        <v>12575127</v>
      </c>
      <c r="E588" t="s">
        <v>13</v>
      </c>
      <c r="F588" t="s">
        <v>67</v>
      </c>
      <c r="G588" t="s">
        <v>68</v>
      </c>
      <c r="H588">
        <v>12</v>
      </c>
      <c r="I588">
        <v>103.97</v>
      </c>
      <c r="J588" t="s">
        <v>77</v>
      </c>
      <c r="K588" t="s">
        <v>70</v>
      </c>
      <c r="L588" t="s">
        <v>239</v>
      </c>
      <c r="M588" t="s">
        <v>72</v>
      </c>
      <c r="N588">
        <v>0.02</v>
      </c>
      <c r="O588">
        <v>2.0000000000000018E-2</v>
      </c>
      <c r="P588">
        <v>12</v>
      </c>
      <c r="Q588">
        <v>0</v>
      </c>
    </row>
    <row r="589" spans="1:17" x14ac:dyDescent="0.2">
      <c r="A589" t="s">
        <v>690</v>
      </c>
      <c r="B589" t="s">
        <v>691</v>
      </c>
      <c r="C589" t="s">
        <v>692</v>
      </c>
      <c r="D589" s="8">
        <v>12613402</v>
      </c>
      <c r="E589" t="s">
        <v>73</v>
      </c>
      <c r="F589" t="s">
        <v>67</v>
      </c>
      <c r="G589" t="s">
        <v>68</v>
      </c>
      <c r="H589">
        <v>48</v>
      </c>
      <c r="I589">
        <v>146.63</v>
      </c>
      <c r="J589" t="s">
        <v>78</v>
      </c>
      <c r="K589" t="s">
        <v>70</v>
      </c>
      <c r="L589" t="s">
        <v>239</v>
      </c>
      <c r="M589" t="s">
        <v>72</v>
      </c>
      <c r="N589">
        <v>0.05</v>
      </c>
      <c r="O589">
        <v>5.0000000000000044E-2</v>
      </c>
      <c r="P589">
        <v>48</v>
      </c>
      <c r="Q589">
        <v>0</v>
      </c>
    </row>
    <row r="590" spans="1:17" x14ac:dyDescent="0.2">
      <c r="A590" t="s">
        <v>690</v>
      </c>
      <c r="B590" t="s">
        <v>691</v>
      </c>
      <c r="C590" t="s">
        <v>692</v>
      </c>
      <c r="D590" s="8">
        <v>12605969</v>
      </c>
      <c r="E590" t="s">
        <v>66</v>
      </c>
      <c r="F590" t="s">
        <v>67</v>
      </c>
      <c r="G590" t="s">
        <v>68</v>
      </c>
      <c r="H590">
        <v>2</v>
      </c>
      <c r="I590">
        <v>37.5</v>
      </c>
      <c r="J590" t="s">
        <v>78</v>
      </c>
      <c r="K590" t="s">
        <v>70</v>
      </c>
      <c r="L590" t="s">
        <v>239</v>
      </c>
      <c r="M590" t="s">
        <v>72</v>
      </c>
      <c r="N590">
        <v>0.01</v>
      </c>
      <c r="O590">
        <v>1.0000000000000009E-2</v>
      </c>
      <c r="P590">
        <v>2</v>
      </c>
      <c r="Q590">
        <v>0</v>
      </c>
    </row>
    <row r="591" spans="1:17" x14ac:dyDescent="0.2">
      <c r="A591" t="s">
        <v>690</v>
      </c>
      <c r="B591" t="s">
        <v>691</v>
      </c>
      <c r="C591" t="s">
        <v>692</v>
      </c>
      <c r="D591" s="8">
        <v>12436421</v>
      </c>
      <c r="E591" t="s">
        <v>6</v>
      </c>
      <c r="F591" t="s">
        <v>67</v>
      </c>
      <c r="G591" t="s">
        <v>68</v>
      </c>
      <c r="H591">
        <v>8</v>
      </c>
      <c r="I591">
        <v>85.97</v>
      </c>
      <c r="J591" t="s">
        <v>78</v>
      </c>
      <c r="K591" t="s">
        <v>70</v>
      </c>
      <c r="L591" t="s">
        <v>239</v>
      </c>
      <c r="M591" t="s">
        <v>72</v>
      </c>
      <c r="N591">
        <v>0.04</v>
      </c>
      <c r="O591">
        <v>4.0000000000000036E-2</v>
      </c>
      <c r="P591">
        <v>8</v>
      </c>
      <c r="Q591">
        <v>0</v>
      </c>
    </row>
    <row r="592" spans="1:17" x14ac:dyDescent="0.2">
      <c r="A592" t="s">
        <v>690</v>
      </c>
      <c r="B592" t="s">
        <v>691</v>
      </c>
      <c r="C592" t="s">
        <v>692</v>
      </c>
      <c r="D592" s="8">
        <v>12575127</v>
      </c>
      <c r="E592" t="s">
        <v>13</v>
      </c>
      <c r="F592" t="s">
        <v>67</v>
      </c>
      <c r="G592" t="s">
        <v>68</v>
      </c>
      <c r="H592">
        <v>12</v>
      </c>
      <c r="I592">
        <v>103.97</v>
      </c>
      <c r="J592" t="s">
        <v>78</v>
      </c>
      <c r="K592" t="s">
        <v>70</v>
      </c>
      <c r="L592" t="s">
        <v>239</v>
      </c>
      <c r="M592" t="s">
        <v>72</v>
      </c>
      <c r="N592">
        <v>0.02</v>
      </c>
      <c r="O592">
        <v>2.0000000000000018E-2</v>
      </c>
      <c r="P592">
        <v>12</v>
      </c>
      <c r="Q592">
        <v>0</v>
      </c>
    </row>
    <row r="593" spans="1:17" x14ac:dyDescent="0.2">
      <c r="A593" t="s">
        <v>690</v>
      </c>
      <c r="B593" t="s">
        <v>691</v>
      </c>
      <c r="C593" t="s">
        <v>692</v>
      </c>
      <c r="D593" s="8">
        <v>12604416</v>
      </c>
      <c r="E593" t="s">
        <v>146</v>
      </c>
      <c r="F593" t="s">
        <v>67</v>
      </c>
      <c r="G593" t="s">
        <v>68</v>
      </c>
      <c r="H593">
        <v>60</v>
      </c>
      <c r="I593">
        <v>446.69</v>
      </c>
      <c r="J593" t="s">
        <v>78</v>
      </c>
      <c r="K593" t="s">
        <v>70</v>
      </c>
      <c r="L593" t="s">
        <v>239</v>
      </c>
      <c r="M593" t="s">
        <v>72</v>
      </c>
      <c r="N593">
        <v>0.12</v>
      </c>
      <c r="O593">
        <v>0.12000000000000011</v>
      </c>
      <c r="P593">
        <v>60</v>
      </c>
      <c r="Q593">
        <v>0</v>
      </c>
    </row>
    <row r="594" spans="1:17" x14ac:dyDescent="0.2">
      <c r="A594" t="s">
        <v>690</v>
      </c>
      <c r="B594" t="s">
        <v>691</v>
      </c>
      <c r="C594" t="s">
        <v>692</v>
      </c>
      <c r="D594" s="8">
        <v>12560070</v>
      </c>
      <c r="E594" t="s">
        <v>15</v>
      </c>
      <c r="F594" t="s">
        <v>67</v>
      </c>
      <c r="G594" t="s">
        <v>68</v>
      </c>
      <c r="H594">
        <v>8</v>
      </c>
      <c r="I594">
        <v>38.28</v>
      </c>
      <c r="J594" t="s">
        <v>78</v>
      </c>
      <c r="K594" t="s">
        <v>70</v>
      </c>
      <c r="L594" t="s">
        <v>239</v>
      </c>
      <c r="M594" t="s">
        <v>72</v>
      </c>
      <c r="N594">
        <v>0.01</v>
      </c>
      <c r="O594">
        <v>1.0000000000000009E-2</v>
      </c>
      <c r="P594">
        <v>8</v>
      </c>
      <c r="Q594">
        <v>0</v>
      </c>
    </row>
    <row r="595" spans="1:17" x14ac:dyDescent="0.2">
      <c r="A595" t="s">
        <v>693</v>
      </c>
      <c r="B595" t="s">
        <v>694</v>
      </c>
      <c r="C595" t="s">
        <v>695</v>
      </c>
      <c r="D595" s="8">
        <v>12623528</v>
      </c>
      <c r="E595" t="s">
        <v>274</v>
      </c>
      <c r="F595" t="s">
        <v>67</v>
      </c>
      <c r="G595" t="s">
        <v>68</v>
      </c>
      <c r="H595">
        <v>8</v>
      </c>
      <c r="I595">
        <v>112.55</v>
      </c>
      <c r="J595" t="s">
        <v>77</v>
      </c>
      <c r="K595" t="s">
        <v>70</v>
      </c>
      <c r="L595" t="s">
        <v>239</v>
      </c>
      <c r="M595" t="s">
        <v>72</v>
      </c>
      <c r="N595">
        <v>0.04</v>
      </c>
      <c r="O595">
        <v>4.0000000000000036E-2</v>
      </c>
      <c r="P595">
        <v>8</v>
      </c>
      <c r="Q595">
        <v>0</v>
      </c>
    </row>
    <row r="596" spans="1:17" x14ac:dyDescent="0.2">
      <c r="A596" t="s">
        <v>696</v>
      </c>
      <c r="B596" t="s">
        <v>697</v>
      </c>
      <c r="C596" t="s">
        <v>698</v>
      </c>
      <c r="D596" s="8">
        <v>12613402</v>
      </c>
      <c r="E596" t="s">
        <v>73</v>
      </c>
      <c r="F596" t="s">
        <v>67</v>
      </c>
      <c r="G596" t="s">
        <v>68</v>
      </c>
      <c r="H596">
        <v>48</v>
      </c>
      <c r="I596">
        <v>146.63</v>
      </c>
      <c r="J596" t="s">
        <v>78</v>
      </c>
      <c r="K596" t="s">
        <v>70</v>
      </c>
      <c r="L596" t="s">
        <v>239</v>
      </c>
      <c r="M596" t="s">
        <v>72</v>
      </c>
      <c r="N596">
        <v>0.05</v>
      </c>
      <c r="O596">
        <v>5.0000000000000044E-2</v>
      </c>
      <c r="P596">
        <v>48</v>
      </c>
      <c r="Q596">
        <v>0</v>
      </c>
    </row>
    <row r="597" spans="1:17" x14ac:dyDescent="0.2">
      <c r="A597" t="s">
        <v>696</v>
      </c>
      <c r="B597" t="s">
        <v>697</v>
      </c>
      <c r="C597" t="s">
        <v>698</v>
      </c>
      <c r="D597" s="8">
        <v>12605969</v>
      </c>
      <c r="E597" t="s">
        <v>66</v>
      </c>
      <c r="F597" t="s">
        <v>67</v>
      </c>
      <c r="G597" t="s">
        <v>68</v>
      </c>
      <c r="H597">
        <v>2</v>
      </c>
      <c r="I597">
        <v>37.5</v>
      </c>
      <c r="J597" t="s">
        <v>78</v>
      </c>
      <c r="K597" t="s">
        <v>70</v>
      </c>
      <c r="L597" t="s">
        <v>239</v>
      </c>
      <c r="M597" t="s">
        <v>72</v>
      </c>
      <c r="N597">
        <v>0.01</v>
      </c>
      <c r="O597">
        <v>1.0000000000000009E-2</v>
      </c>
      <c r="P597">
        <v>2</v>
      </c>
      <c r="Q597">
        <v>0</v>
      </c>
    </row>
    <row r="598" spans="1:17" x14ac:dyDescent="0.2">
      <c r="A598" t="s">
        <v>696</v>
      </c>
      <c r="B598" t="s">
        <v>697</v>
      </c>
      <c r="C598" t="s">
        <v>698</v>
      </c>
      <c r="D598" s="8">
        <v>12436421</v>
      </c>
      <c r="E598" t="s">
        <v>6</v>
      </c>
      <c r="F598" t="s">
        <v>67</v>
      </c>
      <c r="G598" t="s">
        <v>68</v>
      </c>
      <c r="H598">
        <v>8</v>
      </c>
      <c r="I598">
        <v>85.97</v>
      </c>
      <c r="J598" t="s">
        <v>78</v>
      </c>
      <c r="K598" t="s">
        <v>70</v>
      </c>
      <c r="L598" t="s">
        <v>239</v>
      </c>
      <c r="M598" t="s">
        <v>72</v>
      </c>
      <c r="N598">
        <v>0.04</v>
      </c>
      <c r="O598">
        <v>4.0000000000000036E-2</v>
      </c>
      <c r="P598">
        <v>8</v>
      </c>
      <c r="Q598">
        <v>0</v>
      </c>
    </row>
    <row r="599" spans="1:17" x14ac:dyDescent="0.2">
      <c r="A599" t="s">
        <v>696</v>
      </c>
      <c r="B599" t="s">
        <v>697</v>
      </c>
      <c r="C599" t="s">
        <v>698</v>
      </c>
      <c r="D599" s="8">
        <v>12575127</v>
      </c>
      <c r="E599" t="s">
        <v>13</v>
      </c>
      <c r="F599" t="s">
        <v>67</v>
      </c>
      <c r="G599" t="s">
        <v>68</v>
      </c>
      <c r="H599">
        <v>12</v>
      </c>
      <c r="I599">
        <v>103.97</v>
      </c>
      <c r="J599" t="s">
        <v>78</v>
      </c>
      <c r="K599" t="s">
        <v>70</v>
      </c>
      <c r="L599" t="s">
        <v>239</v>
      </c>
      <c r="M599" t="s">
        <v>72</v>
      </c>
      <c r="N599">
        <v>0.02</v>
      </c>
      <c r="O599">
        <v>2.0000000000000018E-2</v>
      </c>
      <c r="P599">
        <v>12</v>
      </c>
      <c r="Q599">
        <v>0</v>
      </c>
    </row>
    <row r="600" spans="1:17" x14ac:dyDescent="0.2">
      <c r="A600" t="s">
        <v>696</v>
      </c>
      <c r="B600" t="s">
        <v>697</v>
      </c>
      <c r="C600" t="s">
        <v>698</v>
      </c>
      <c r="D600" s="8">
        <v>12614144</v>
      </c>
      <c r="E600" t="s">
        <v>89</v>
      </c>
      <c r="F600" t="s">
        <v>67</v>
      </c>
      <c r="G600" t="s">
        <v>68</v>
      </c>
      <c r="H600">
        <v>5</v>
      </c>
      <c r="I600">
        <v>254.67</v>
      </c>
      <c r="J600" t="s">
        <v>78</v>
      </c>
      <c r="K600" t="s">
        <v>70</v>
      </c>
      <c r="L600" t="s">
        <v>239</v>
      </c>
      <c r="M600" t="s">
        <v>72</v>
      </c>
      <c r="N600">
        <v>0.08</v>
      </c>
      <c r="O600">
        <v>8.0000000000000071E-2</v>
      </c>
      <c r="P600">
        <v>5</v>
      </c>
      <c r="Q600">
        <v>0</v>
      </c>
    </row>
    <row r="601" spans="1:17" x14ac:dyDescent="0.2">
      <c r="A601" t="s">
        <v>696</v>
      </c>
      <c r="B601" t="s">
        <v>697</v>
      </c>
      <c r="C601" t="s">
        <v>698</v>
      </c>
      <c r="D601" s="8">
        <v>12560070</v>
      </c>
      <c r="E601" t="s">
        <v>15</v>
      </c>
      <c r="F601" t="s">
        <v>67</v>
      </c>
      <c r="G601" t="s">
        <v>68</v>
      </c>
      <c r="H601">
        <v>8</v>
      </c>
      <c r="I601">
        <v>38.28</v>
      </c>
      <c r="J601" t="s">
        <v>78</v>
      </c>
      <c r="K601" t="s">
        <v>70</v>
      </c>
      <c r="L601" t="s">
        <v>239</v>
      </c>
      <c r="M601" t="s">
        <v>72</v>
      </c>
      <c r="N601">
        <v>0.01</v>
      </c>
      <c r="O601">
        <v>1.0000000000000009E-2</v>
      </c>
      <c r="P601">
        <v>8</v>
      </c>
      <c r="Q601">
        <v>0</v>
      </c>
    </row>
    <row r="602" spans="1:17" x14ac:dyDescent="0.2">
      <c r="A602" t="s">
        <v>699</v>
      </c>
      <c r="B602" t="s">
        <v>700</v>
      </c>
      <c r="C602" t="s">
        <v>701</v>
      </c>
      <c r="D602" s="8">
        <v>12436421</v>
      </c>
      <c r="E602" t="s">
        <v>6</v>
      </c>
      <c r="F602" t="s">
        <v>67</v>
      </c>
      <c r="G602" t="s">
        <v>68</v>
      </c>
      <c r="H602">
        <v>4</v>
      </c>
      <c r="I602">
        <v>42.99</v>
      </c>
      <c r="J602" t="s">
        <v>77</v>
      </c>
      <c r="K602" t="s">
        <v>70</v>
      </c>
      <c r="L602" t="s">
        <v>239</v>
      </c>
      <c r="M602" t="s">
        <v>72</v>
      </c>
      <c r="N602">
        <v>0.02</v>
      </c>
      <c r="O602">
        <v>2.0000000000000018E-2</v>
      </c>
      <c r="P602">
        <v>4</v>
      </c>
      <c r="Q602">
        <v>0</v>
      </c>
    </row>
    <row r="603" spans="1:17" x14ac:dyDescent="0.2">
      <c r="A603" t="s">
        <v>699</v>
      </c>
      <c r="B603" t="s">
        <v>700</v>
      </c>
      <c r="C603" t="s">
        <v>701</v>
      </c>
      <c r="D603" s="8">
        <v>12575127</v>
      </c>
      <c r="E603" t="s">
        <v>13</v>
      </c>
      <c r="F603" t="s">
        <v>67</v>
      </c>
      <c r="G603" t="s">
        <v>68</v>
      </c>
      <c r="H603">
        <v>12</v>
      </c>
      <c r="I603">
        <v>103.97</v>
      </c>
      <c r="J603" t="s">
        <v>77</v>
      </c>
      <c r="K603" t="s">
        <v>70</v>
      </c>
      <c r="L603" t="s">
        <v>239</v>
      </c>
      <c r="M603" t="s">
        <v>72</v>
      </c>
      <c r="N603">
        <v>0.02</v>
      </c>
      <c r="O603">
        <v>2.0000000000000018E-2</v>
      </c>
      <c r="P603">
        <v>12</v>
      </c>
      <c r="Q603">
        <v>0</v>
      </c>
    </row>
    <row r="604" spans="1:17" x14ac:dyDescent="0.2">
      <c r="A604" t="s">
        <v>702</v>
      </c>
      <c r="B604" t="s">
        <v>703</v>
      </c>
      <c r="C604" t="s">
        <v>704</v>
      </c>
      <c r="D604" s="8">
        <v>12575101</v>
      </c>
      <c r="E604" t="s">
        <v>9</v>
      </c>
      <c r="F604" t="s">
        <v>67</v>
      </c>
      <c r="G604" t="s">
        <v>68</v>
      </c>
      <c r="H604">
        <v>1</v>
      </c>
      <c r="I604">
        <v>239.34</v>
      </c>
      <c r="J604" t="s">
        <v>77</v>
      </c>
      <c r="K604" t="s">
        <v>70</v>
      </c>
      <c r="L604" t="s">
        <v>239</v>
      </c>
      <c r="M604" t="s">
        <v>72</v>
      </c>
      <c r="N604">
        <v>0.06</v>
      </c>
      <c r="O604">
        <v>6.0000000000000053E-2</v>
      </c>
      <c r="P604">
        <v>1</v>
      </c>
      <c r="Q604">
        <v>0</v>
      </c>
    </row>
    <row r="605" spans="1:17" x14ac:dyDescent="0.2">
      <c r="A605" t="s">
        <v>705</v>
      </c>
      <c r="B605" t="s">
        <v>703</v>
      </c>
      <c r="C605" t="s">
        <v>704</v>
      </c>
      <c r="D605" s="8">
        <v>12575127</v>
      </c>
      <c r="E605" t="s">
        <v>13</v>
      </c>
      <c r="F605" t="s">
        <v>67</v>
      </c>
      <c r="G605" t="s">
        <v>68</v>
      </c>
      <c r="H605">
        <v>12</v>
      </c>
      <c r="I605">
        <v>103.97</v>
      </c>
      <c r="J605" t="s">
        <v>77</v>
      </c>
      <c r="K605" t="s">
        <v>70</v>
      </c>
      <c r="L605" t="s">
        <v>239</v>
      </c>
      <c r="M605" t="s">
        <v>72</v>
      </c>
      <c r="N605">
        <v>0.02</v>
      </c>
      <c r="O605">
        <v>2.0000000000000018E-2</v>
      </c>
      <c r="P605">
        <v>12</v>
      </c>
      <c r="Q605">
        <v>0</v>
      </c>
    </row>
    <row r="606" spans="1:17" x14ac:dyDescent="0.2">
      <c r="A606" t="s">
        <v>706</v>
      </c>
      <c r="B606" t="s">
        <v>707</v>
      </c>
      <c r="C606" t="s">
        <v>708</v>
      </c>
      <c r="D606" s="8">
        <v>12436421</v>
      </c>
      <c r="E606" t="s">
        <v>6</v>
      </c>
      <c r="F606" t="s">
        <v>67</v>
      </c>
      <c r="G606" t="s">
        <v>68</v>
      </c>
      <c r="H606">
        <v>24</v>
      </c>
      <c r="I606">
        <v>257.91000000000003</v>
      </c>
      <c r="J606" t="s">
        <v>77</v>
      </c>
      <c r="K606" t="s">
        <v>70</v>
      </c>
      <c r="L606" t="s">
        <v>239</v>
      </c>
      <c r="M606" t="s">
        <v>72</v>
      </c>
      <c r="N606">
        <v>0.13</v>
      </c>
      <c r="O606">
        <v>0.12999999999999989</v>
      </c>
      <c r="P606">
        <v>24</v>
      </c>
      <c r="Q606">
        <v>0</v>
      </c>
    </row>
    <row r="607" spans="1:17" x14ac:dyDescent="0.2">
      <c r="A607" t="s">
        <v>709</v>
      </c>
      <c r="B607" t="s">
        <v>707</v>
      </c>
      <c r="C607" t="s">
        <v>708</v>
      </c>
      <c r="D607" s="8">
        <v>12436421</v>
      </c>
      <c r="E607" t="s">
        <v>6</v>
      </c>
      <c r="F607" t="s">
        <v>67</v>
      </c>
      <c r="G607" t="s">
        <v>68</v>
      </c>
      <c r="H607">
        <v>4</v>
      </c>
      <c r="I607">
        <v>42.99</v>
      </c>
      <c r="J607" t="s">
        <v>77</v>
      </c>
      <c r="K607" t="s">
        <v>70</v>
      </c>
      <c r="L607" t="s">
        <v>239</v>
      </c>
      <c r="M607" t="s">
        <v>72</v>
      </c>
      <c r="N607">
        <v>0.02</v>
      </c>
      <c r="O607">
        <v>2.0000000000000018E-2</v>
      </c>
      <c r="P607">
        <v>4</v>
      </c>
      <c r="Q607">
        <v>0</v>
      </c>
    </row>
    <row r="608" spans="1:17" x14ac:dyDescent="0.2">
      <c r="A608" t="s">
        <v>709</v>
      </c>
      <c r="B608" t="s">
        <v>707</v>
      </c>
      <c r="C608" t="s">
        <v>708</v>
      </c>
      <c r="D608" s="8">
        <v>12575127</v>
      </c>
      <c r="E608" t="s">
        <v>13</v>
      </c>
      <c r="F608" t="s">
        <v>67</v>
      </c>
      <c r="G608" t="s">
        <v>68</v>
      </c>
      <c r="H608">
        <v>24</v>
      </c>
      <c r="I608">
        <v>207.94</v>
      </c>
      <c r="J608" t="s">
        <v>77</v>
      </c>
      <c r="K608" t="s">
        <v>70</v>
      </c>
      <c r="L608" t="s">
        <v>239</v>
      </c>
      <c r="M608" t="s">
        <v>72</v>
      </c>
      <c r="N608">
        <v>0.05</v>
      </c>
      <c r="O608">
        <v>5.0000000000000044E-2</v>
      </c>
      <c r="P608">
        <v>24</v>
      </c>
      <c r="Q608">
        <v>0</v>
      </c>
    </row>
    <row r="609" spans="1:17" x14ac:dyDescent="0.2">
      <c r="A609" t="s">
        <v>710</v>
      </c>
      <c r="B609" t="s">
        <v>711</v>
      </c>
      <c r="C609" t="s">
        <v>712</v>
      </c>
      <c r="D609" s="8">
        <v>12613402</v>
      </c>
      <c r="E609" t="s">
        <v>73</v>
      </c>
      <c r="F609" t="s">
        <v>67</v>
      </c>
      <c r="G609" t="s">
        <v>68</v>
      </c>
      <c r="H609">
        <v>96</v>
      </c>
      <c r="I609">
        <v>293.26</v>
      </c>
      <c r="J609" t="s">
        <v>78</v>
      </c>
      <c r="K609" t="s">
        <v>70</v>
      </c>
      <c r="L609" t="s">
        <v>239</v>
      </c>
      <c r="M609" t="s">
        <v>72</v>
      </c>
      <c r="N609">
        <v>0.1</v>
      </c>
      <c r="O609">
        <v>0.10000000000000009</v>
      </c>
      <c r="P609">
        <v>96</v>
      </c>
      <c r="Q609">
        <v>0</v>
      </c>
    </row>
    <row r="610" spans="1:17" x14ac:dyDescent="0.2">
      <c r="A610" t="s">
        <v>710</v>
      </c>
      <c r="B610" t="s">
        <v>711</v>
      </c>
      <c r="C610" t="s">
        <v>712</v>
      </c>
      <c r="D610" s="8">
        <v>14037789</v>
      </c>
      <c r="E610" t="s">
        <v>713</v>
      </c>
      <c r="F610" t="s">
        <v>67</v>
      </c>
      <c r="G610" t="s">
        <v>68</v>
      </c>
      <c r="H610">
        <v>1</v>
      </c>
      <c r="I610">
        <v>134.53</v>
      </c>
      <c r="J610" t="s">
        <v>78</v>
      </c>
      <c r="K610" t="s">
        <v>70</v>
      </c>
      <c r="L610" t="s">
        <v>239</v>
      </c>
      <c r="M610" t="s">
        <v>72</v>
      </c>
      <c r="N610">
        <v>0.06</v>
      </c>
      <c r="O610">
        <v>6.0000000000000053E-2</v>
      </c>
      <c r="P610">
        <v>1</v>
      </c>
      <c r="Q610">
        <v>0</v>
      </c>
    </row>
    <row r="611" spans="1:17" x14ac:dyDescent="0.2">
      <c r="A611" t="s">
        <v>710</v>
      </c>
      <c r="B611" t="s">
        <v>711</v>
      </c>
      <c r="C611" t="s">
        <v>712</v>
      </c>
      <c r="D611" s="8">
        <v>12436421</v>
      </c>
      <c r="E611" t="s">
        <v>6</v>
      </c>
      <c r="F611" t="s">
        <v>67</v>
      </c>
      <c r="G611" t="s">
        <v>68</v>
      </c>
      <c r="H611">
        <v>40</v>
      </c>
      <c r="I611">
        <v>429.86</v>
      </c>
      <c r="J611" t="s">
        <v>78</v>
      </c>
      <c r="K611" t="s">
        <v>70</v>
      </c>
      <c r="L611" t="s">
        <v>239</v>
      </c>
      <c r="M611" t="s">
        <v>72</v>
      </c>
      <c r="N611">
        <v>0.21</v>
      </c>
      <c r="O611">
        <v>0.20999999999999996</v>
      </c>
      <c r="P611">
        <v>40</v>
      </c>
      <c r="Q611">
        <v>0</v>
      </c>
    </row>
    <row r="612" spans="1:17" x14ac:dyDescent="0.2">
      <c r="A612" t="s">
        <v>710</v>
      </c>
      <c r="B612" t="s">
        <v>711</v>
      </c>
      <c r="C612" t="s">
        <v>712</v>
      </c>
      <c r="D612" s="8">
        <v>12604377</v>
      </c>
      <c r="E612" t="s">
        <v>93</v>
      </c>
      <c r="F612" t="s">
        <v>67</v>
      </c>
      <c r="G612" t="s">
        <v>68</v>
      </c>
      <c r="H612">
        <v>10</v>
      </c>
      <c r="I612">
        <v>134.53</v>
      </c>
      <c r="J612" t="s">
        <v>78</v>
      </c>
      <c r="K612" t="s">
        <v>70</v>
      </c>
      <c r="L612" t="s">
        <v>239</v>
      </c>
      <c r="M612" t="s">
        <v>72</v>
      </c>
      <c r="N612">
        <v>0.05</v>
      </c>
      <c r="O612">
        <v>5.0000000000000044E-2</v>
      </c>
      <c r="P612">
        <v>10</v>
      </c>
      <c r="Q612">
        <v>0</v>
      </c>
    </row>
    <row r="613" spans="1:17" x14ac:dyDescent="0.2">
      <c r="A613" t="s">
        <v>710</v>
      </c>
      <c r="B613" t="s">
        <v>711</v>
      </c>
      <c r="C613" t="s">
        <v>712</v>
      </c>
      <c r="D613" s="8">
        <v>12592549</v>
      </c>
      <c r="E613" t="s">
        <v>38</v>
      </c>
      <c r="F613" t="s">
        <v>67</v>
      </c>
      <c r="G613" t="s">
        <v>68</v>
      </c>
      <c r="H613">
        <v>5</v>
      </c>
      <c r="I613">
        <v>339.81</v>
      </c>
      <c r="J613" t="s">
        <v>78</v>
      </c>
      <c r="K613" t="s">
        <v>70</v>
      </c>
      <c r="L613" t="s">
        <v>239</v>
      </c>
      <c r="M613" t="s">
        <v>72</v>
      </c>
      <c r="N613">
        <v>0.21</v>
      </c>
      <c r="O613">
        <v>0.20999999999999996</v>
      </c>
      <c r="P613">
        <v>5</v>
      </c>
      <c r="Q613">
        <v>0</v>
      </c>
    </row>
    <row r="614" spans="1:17" x14ac:dyDescent="0.2">
      <c r="A614" t="s">
        <v>710</v>
      </c>
      <c r="B614" t="s">
        <v>711</v>
      </c>
      <c r="C614" t="s">
        <v>712</v>
      </c>
      <c r="D614" s="8">
        <v>12604367</v>
      </c>
      <c r="E614" t="s">
        <v>82</v>
      </c>
      <c r="F614" t="s">
        <v>67</v>
      </c>
      <c r="G614" t="s">
        <v>68</v>
      </c>
      <c r="H614">
        <v>10</v>
      </c>
      <c r="I614">
        <v>82.79</v>
      </c>
      <c r="J614" t="s">
        <v>78</v>
      </c>
      <c r="K614" t="s">
        <v>70</v>
      </c>
      <c r="L614" t="s">
        <v>239</v>
      </c>
      <c r="M614" t="s">
        <v>72</v>
      </c>
      <c r="N614">
        <v>0.04</v>
      </c>
      <c r="O614">
        <v>4.0000000000000036E-2</v>
      </c>
      <c r="P614">
        <v>10</v>
      </c>
      <c r="Q614">
        <v>0</v>
      </c>
    </row>
    <row r="615" spans="1:17" x14ac:dyDescent="0.2">
      <c r="A615" t="s">
        <v>710</v>
      </c>
      <c r="B615" t="s">
        <v>711</v>
      </c>
      <c r="C615" t="s">
        <v>712</v>
      </c>
      <c r="D615" s="8">
        <v>12575135</v>
      </c>
      <c r="E615" t="s">
        <v>141</v>
      </c>
      <c r="F615" t="s">
        <v>67</v>
      </c>
      <c r="G615" t="s">
        <v>68</v>
      </c>
      <c r="H615">
        <v>32</v>
      </c>
      <c r="I615">
        <v>537.34</v>
      </c>
      <c r="J615" t="s">
        <v>78</v>
      </c>
      <c r="K615" t="s">
        <v>70</v>
      </c>
      <c r="L615" t="s">
        <v>239</v>
      </c>
      <c r="M615" t="s">
        <v>72</v>
      </c>
      <c r="N615">
        <v>0.13</v>
      </c>
      <c r="O615">
        <v>0.12999999999999989</v>
      </c>
      <c r="P615">
        <v>32</v>
      </c>
      <c r="Q615">
        <v>0</v>
      </c>
    </row>
    <row r="616" spans="1:17" x14ac:dyDescent="0.2">
      <c r="A616" t="s">
        <v>710</v>
      </c>
      <c r="B616" t="s">
        <v>711</v>
      </c>
      <c r="C616" t="s">
        <v>712</v>
      </c>
      <c r="D616" s="8">
        <v>12618906</v>
      </c>
      <c r="E616" t="s">
        <v>105</v>
      </c>
      <c r="F616" t="s">
        <v>67</v>
      </c>
      <c r="G616" t="s">
        <v>68</v>
      </c>
      <c r="H616">
        <v>2</v>
      </c>
      <c r="I616">
        <v>236.98</v>
      </c>
      <c r="J616" t="s">
        <v>78</v>
      </c>
      <c r="K616" t="s">
        <v>70</v>
      </c>
      <c r="L616" t="s">
        <v>239</v>
      </c>
      <c r="M616" t="s">
        <v>72</v>
      </c>
      <c r="N616">
        <v>0.33</v>
      </c>
      <c r="O616">
        <v>0.33000000000000007</v>
      </c>
      <c r="P616">
        <v>2</v>
      </c>
      <c r="Q616">
        <v>0</v>
      </c>
    </row>
    <row r="617" spans="1:17" x14ac:dyDescent="0.2">
      <c r="A617" t="s">
        <v>714</v>
      </c>
      <c r="B617" t="s">
        <v>715</v>
      </c>
      <c r="C617" t="s">
        <v>716</v>
      </c>
      <c r="D617" s="8">
        <v>12575101</v>
      </c>
      <c r="E617" t="s">
        <v>9</v>
      </c>
      <c r="F617" t="s">
        <v>67</v>
      </c>
      <c r="G617" t="s">
        <v>68</v>
      </c>
      <c r="H617">
        <v>1</v>
      </c>
      <c r="I617">
        <v>239.34</v>
      </c>
      <c r="J617" t="s">
        <v>77</v>
      </c>
      <c r="K617" t="s">
        <v>70</v>
      </c>
      <c r="L617" t="s">
        <v>239</v>
      </c>
      <c r="M617" t="s">
        <v>72</v>
      </c>
      <c r="N617">
        <v>0.06</v>
      </c>
      <c r="O617">
        <v>6.0000000000000053E-2</v>
      </c>
      <c r="P617">
        <v>1</v>
      </c>
      <c r="Q617">
        <v>0</v>
      </c>
    </row>
    <row r="618" spans="1:17" x14ac:dyDescent="0.2">
      <c r="A618" t="s">
        <v>717</v>
      </c>
      <c r="B618" t="s">
        <v>715</v>
      </c>
      <c r="C618" t="s">
        <v>716</v>
      </c>
      <c r="D618" s="8">
        <v>12604367</v>
      </c>
      <c r="E618" t="s">
        <v>82</v>
      </c>
      <c r="F618" t="s">
        <v>67</v>
      </c>
      <c r="G618" t="s">
        <v>68</v>
      </c>
      <c r="H618">
        <v>10</v>
      </c>
      <c r="I618">
        <v>82.79</v>
      </c>
      <c r="J618" t="s">
        <v>77</v>
      </c>
      <c r="K618" t="s">
        <v>70</v>
      </c>
      <c r="L618" t="s">
        <v>239</v>
      </c>
      <c r="M618" t="s">
        <v>72</v>
      </c>
      <c r="N618">
        <v>0.04</v>
      </c>
      <c r="O618">
        <v>4.0000000000000036E-2</v>
      </c>
      <c r="P618">
        <v>10</v>
      </c>
      <c r="Q618">
        <v>0</v>
      </c>
    </row>
    <row r="619" spans="1:17" x14ac:dyDescent="0.2">
      <c r="A619" t="s">
        <v>718</v>
      </c>
      <c r="B619" t="s">
        <v>719</v>
      </c>
      <c r="C619" t="s">
        <v>720</v>
      </c>
      <c r="D619" s="8">
        <v>12575101</v>
      </c>
      <c r="E619" t="s">
        <v>9</v>
      </c>
      <c r="F619" t="s">
        <v>67</v>
      </c>
      <c r="G619" t="s">
        <v>68</v>
      </c>
      <c r="H619">
        <v>2</v>
      </c>
      <c r="I619">
        <v>478.68</v>
      </c>
      <c r="J619" t="s">
        <v>77</v>
      </c>
      <c r="K619" t="s">
        <v>70</v>
      </c>
      <c r="L619" t="s">
        <v>239</v>
      </c>
      <c r="M619" t="s">
        <v>72</v>
      </c>
      <c r="N619">
        <v>0.11</v>
      </c>
      <c r="O619">
        <v>0.1100000000000001</v>
      </c>
      <c r="P619">
        <v>2</v>
      </c>
      <c r="Q619">
        <v>0</v>
      </c>
    </row>
    <row r="620" spans="1:17" x14ac:dyDescent="0.2">
      <c r="A620" t="s">
        <v>721</v>
      </c>
      <c r="B620" t="s">
        <v>719</v>
      </c>
      <c r="C620" t="s">
        <v>720</v>
      </c>
      <c r="D620" s="8">
        <v>12436421</v>
      </c>
      <c r="E620" t="s">
        <v>6</v>
      </c>
      <c r="F620" t="s">
        <v>67</v>
      </c>
      <c r="G620" t="s">
        <v>68</v>
      </c>
      <c r="H620">
        <v>4</v>
      </c>
      <c r="I620">
        <v>42.99</v>
      </c>
      <c r="J620" t="s">
        <v>77</v>
      </c>
      <c r="K620" t="s">
        <v>70</v>
      </c>
      <c r="L620" t="s">
        <v>239</v>
      </c>
      <c r="M620" t="s">
        <v>72</v>
      </c>
      <c r="N620">
        <v>0.02</v>
      </c>
      <c r="O620">
        <v>2.0000000000000018E-2</v>
      </c>
      <c r="P620">
        <v>4</v>
      </c>
      <c r="Q620">
        <v>0</v>
      </c>
    </row>
    <row r="621" spans="1:17" x14ac:dyDescent="0.2">
      <c r="A621" t="s">
        <v>721</v>
      </c>
      <c r="B621" t="s">
        <v>719</v>
      </c>
      <c r="C621" t="s">
        <v>720</v>
      </c>
      <c r="D621" s="8">
        <v>12575127</v>
      </c>
      <c r="E621" t="s">
        <v>13</v>
      </c>
      <c r="F621" t="s">
        <v>67</v>
      </c>
      <c r="G621" t="s">
        <v>68</v>
      </c>
      <c r="H621">
        <v>12</v>
      </c>
      <c r="I621">
        <v>103.97</v>
      </c>
      <c r="J621" t="s">
        <v>77</v>
      </c>
      <c r="K621" t="s">
        <v>70</v>
      </c>
      <c r="L621" t="s">
        <v>239</v>
      </c>
      <c r="M621" t="s">
        <v>72</v>
      </c>
      <c r="N621">
        <v>0.02</v>
      </c>
      <c r="O621">
        <v>2.0000000000000018E-2</v>
      </c>
      <c r="P621">
        <v>12</v>
      </c>
      <c r="Q621">
        <v>0</v>
      </c>
    </row>
    <row r="622" spans="1:17" x14ac:dyDescent="0.2">
      <c r="A622" t="s">
        <v>722</v>
      </c>
      <c r="B622" t="s">
        <v>723</v>
      </c>
      <c r="C622" t="s">
        <v>724</v>
      </c>
      <c r="D622" s="8">
        <v>12436421</v>
      </c>
      <c r="E622" t="s">
        <v>6</v>
      </c>
      <c r="F622" t="s">
        <v>67</v>
      </c>
      <c r="G622" t="s">
        <v>68</v>
      </c>
      <c r="H622">
        <v>4</v>
      </c>
      <c r="I622">
        <v>42.99</v>
      </c>
      <c r="J622" t="s">
        <v>77</v>
      </c>
      <c r="K622" t="s">
        <v>70</v>
      </c>
      <c r="L622" t="s">
        <v>239</v>
      </c>
      <c r="M622" t="s">
        <v>72</v>
      </c>
      <c r="N622">
        <v>0.02</v>
      </c>
      <c r="O622">
        <v>2.0000000000000018E-2</v>
      </c>
      <c r="P622">
        <v>4</v>
      </c>
      <c r="Q622">
        <v>0</v>
      </c>
    </row>
    <row r="623" spans="1:17" x14ac:dyDescent="0.2">
      <c r="A623" t="s">
        <v>722</v>
      </c>
      <c r="B623" t="s">
        <v>723</v>
      </c>
      <c r="C623" t="s">
        <v>724</v>
      </c>
      <c r="D623" s="8">
        <v>12575127</v>
      </c>
      <c r="E623" t="s">
        <v>13</v>
      </c>
      <c r="F623" t="s">
        <v>67</v>
      </c>
      <c r="G623" t="s">
        <v>68</v>
      </c>
      <c r="H623">
        <v>12</v>
      </c>
      <c r="I623">
        <v>103.97</v>
      </c>
      <c r="J623" t="s">
        <v>77</v>
      </c>
      <c r="K623" t="s">
        <v>70</v>
      </c>
      <c r="L623" t="s">
        <v>239</v>
      </c>
      <c r="M623" t="s">
        <v>72</v>
      </c>
      <c r="N623">
        <v>0.02</v>
      </c>
      <c r="O623">
        <v>2.0000000000000018E-2</v>
      </c>
      <c r="P623">
        <v>12</v>
      </c>
      <c r="Q623">
        <v>0</v>
      </c>
    </row>
    <row r="624" spans="1:17" x14ac:dyDescent="0.2">
      <c r="A624" t="s">
        <v>725</v>
      </c>
      <c r="B624" t="s">
        <v>723</v>
      </c>
      <c r="C624" t="s">
        <v>724</v>
      </c>
      <c r="D624" s="8">
        <v>12575101</v>
      </c>
      <c r="E624" t="s">
        <v>9</v>
      </c>
      <c r="F624" t="s">
        <v>67</v>
      </c>
      <c r="G624" t="s">
        <v>68</v>
      </c>
      <c r="H624">
        <v>1</v>
      </c>
      <c r="I624">
        <v>239.34</v>
      </c>
      <c r="J624" t="s">
        <v>77</v>
      </c>
      <c r="K624" t="s">
        <v>70</v>
      </c>
      <c r="L624" t="s">
        <v>239</v>
      </c>
      <c r="M624" t="s">
        <v>72</v>
      </c>
      <c r="N624">
        <v>0.06</v>
      </c>
      <c r="O624">
        <v>6.0000000000000053E-2</v>
      </c>
      <c r="P624">
        <v>1</v>
      </c>
      <c r="Q624">
        <v>0</v>
      </c>
    </row>
    <row r="625" spans="1:17" x14ac:dyDescent="0.2">
      <c r="A625" t="s">
        <v>726</v>
      </c>
      <c r="B625" t="s">
        <v>727</v>
      </c>
      <c r="C625" t="s">
        <v>728</v>
      </c>
      <c r="D625" s="8">
        <v>12575101</v>
      </c>
      <c r="E625" t="s">
        <v>9</v>
      </c>
      <c r="F625" t="s">
        <v>67</v>
      </c>
      <c r="G625" t="s">
        <v>68</v>
      </c>
      <c r="H625">
        <v>1</v>
      </c>
      <c r="I625">
        <v>239.34</v>
      </c>
      <c r="J625" t="s">
        <v>77</v>
      </c>
      <c r="K625" t="s">
        <v>70</v>
      </c>
      <c r="L625" t="s">
        <v>239</v>
      </c>
      <c r="M625" t="s">
        <v>72</v>
      </c>
      <c r="N625">
        <v>0.06</v>
      </c>
      <c r="O625">
        <v>6.0000000000000053E-2</v>
      </c>
      <c r="P625">
        <v>1</v>
      </c>
      <c r="Q625">
        <v>0</v>
      </c>
    </row>
    <row r="626" spans="1:17" x14ac:dyDescent="0.2">
      <c r="A626" t="s">
        <v>729</v>
      </c>
      <c r="B626" t="s">
        <v>727</v>
      </c>
      <c r="C626" t="s">
        <v>728</v>
      </c>
      <c r="D626" s="8">
        <v>12436421</v>
      </c>
      <c r="E626" t="s">
        <v>6</v>
      </c>
      <c r="F626" t="s">
        <v>67</v>
      </c>
      <c r="G626" t="s">
        <v>68</v>
      </c>
      <c r="H626">
        <v>4</v>
      </c>
      <c r="I626">
        <v>42.99</v>
      </c>
      <c r="J626" t="s">
        <v>77</v>
      </c>
      <c r="K626" t="s">
        <v>70</v>
      </c>
      <c r="L626" t="s">
        <v>239</v>
      </c>
      <c r="M626" t="s">
        <v>72</v>
      </c>
      <c r="N626">
        <v>0.02</v>
      </c>
      <c r="O626">
        <v>2.0000000000000018E-2</v>
      </c>
      <c r="P626">
        <v>4</v>
      </c>
      <c r="Q626">
        <v>0</v>
      </c>
    </row>
    <row r="627" spans="1:17" x14ac:dyDescent="0.2">
      <c r="A627" t="s">
        <v>729</v>
      </c>
      <c r="B627" t="s">
        <v>727</v>
      </c>
      <c r="C627" t="s">
        <v>728</v>
      </c>
      <c r="D627" s="8">
        <v>12575127</v>
      </c>
      <c r="E627" t="s">
        <v>13</v>
      </c>
      <c r="F627" t="s">
        <v>67</v>
      </c>
      <c r="G627" t="s">
        <v>68</v>
      </c>
      <c r="H627">
        <v>12</v>
      </c>
      <c r="I627">
        <v>103.97</v>
      </c>
      <c r="J627" t="s">
        <v>77</v>
      </c>
      <c r="K627" t="s">
        <v>70</v>
      </c>
      <c r="L627" t="s">
        <v>239</v>
      </c>
      <c r="M627" t="s">
        <v>72</v>
      </c>
      <c r="N627">
        <v>0.02</v>
      </c>
      <c r="O627">
        <v>2.0000000000000018E-2</v>
      </c>
      <c r="P627">
        <v>12</v>
      </c>
      <c r="Q627">
        <v>0</v>
      </c>
    </row>
    <row r="628" spans="1:17" x14ac:dyDescent="0.2">
      <c r="A628" t="s">
        <v>730</v>
      </c>
      <c r="B628" t="s">
        <v>731</v>
      </c>
      <c r="C628" t="s">
        <v>732</v>
      </c>
      <c r="D628" s="8">
        <v>12575101</v>
      </c>
      <c r="E628" t="s">
        <v>9</v>
      </c>
      <c r="F628" t="s">
        <v>67</v>
      </c>
      <c r="G628" t="s">
        <v>68</v>
      </c>
      <c r="H628">
        <v>1</v>
      </c>
      <c r="I628">
        <v>239.34</v>
      </c>
      <c r="J628" t="s">
        <v>77</v>
      </c>
      <c r="K628" t="s">
        <v>70</v>
      </c>
      <c r="L628" t="s">
        <v>239</v>
      </c>
      <c r="M628" t="s">
        <v>72</v>
      </c>
      <c r="N628">
        <v>0.06</v>
      </c>
      <c r="O628">
        <v>6.0000000000000053E-2</v>
      </c>
      <c r="P628">
        <v>1</v>
      </c>
      <c r="Q628">
        <v>0</v>
      </c>
    </row>
    <row r="629" spans="1:17" x14ac:dyDescent="0.2">
      <c r="A629" t="s">
        <v>733</v>
      </c>
      <c r="B629" t="s">
        <v>731</v>
      </c>
      <c r="C629" t="s">
        <v>732</v>
      </c>
      <c r="D629" s="8">
        <v>12436421</v>
      </c>
      <c r="E629" t="s">
        <v>6</v>
      </c>
      <c r="F629" t="s">
        <v>67</v>
      </c>
      <c r="G629" t="s">
        <v>68</v>
      </c>
      <c r="H629">
        <v>8</v>
      </c>
      <c r="I629">
        <v>85.97</v>
      </c>
      <c r="J629" t="s">
        <v>77</v>
      </c>
      <c r="K629" t="s">
        <v>70</v>
      </c>
      <c r="L629" t="s">
        <v>239</v>
      </c>
      <c r="M629" t="s">
        <v>72</v>
      </c>
      <c r="N629">
        <v>0.04</v>
      </c>
      <c r="O629">
        <v>4.0000000000000036E-2</v>
      </c>
      <c r="P629">
        <v>8</v>
      </c>
      <c r="Q629">
        <v>0</v>
      </c>
    </row>
    <row r="630" spans="1:17" x14ac:dyDescent="0.2">
      <c r="A630" t="s">
        <v>734</v>
      </c>
      <c r="B630" t="s">
        <v>735</v>
      </c>
      <c r="C630" t="s">
        <v>736</v>
      </c>
      <c r="D630" s="8">
        <v>12436421</v>
      </c>
      <c r="E630" t="s">
        <v>6</v>
      </c>
      <c r="F630" t="s">
        <v>67</v>
      </c>
      <c r="G630" t="s">
        <v>68</v>
      </c>
      <c r="H630">
        <v>8</v>
      </c>
      <c r="I630">
        <v>85.97</v>
      </c>
      <c r="J630" t="s">
        <v>77</v>
      </c>
      <c r="K630" t="s">
        <v>70</v>
      </c>
      <c r="L630" t="s">
        <v>239</v>
      </c>
      <c r="M630" t="s">
        <v>72</v>
      </c>
      <c r="N630">
        <v>0.04</v>
      </c>
      <c r="O630">
        <v>4.0000000000000036E-2</v>
      </c>
      <c r="P630">
        <v>8</v>
      </c>
      <c r="Q630">
        <v>0</v>
      </c>
    </row>
    <row r="631" spans="1:17" x14ac:dyDescent="0.2">
      <c r="A631" t="s">
        <v>737</v>
      </c>
      <c r="B631" t="s">
        <v>738</v>
      </c>
      <c r="C631" t="s">
        <v>739</v>
      </c>
      <c r="D631" s="8">
        <v>43564</v>
      </c>
      <c r="E631" t="s">
        <v>97</v>
      </c>
      <c r="F631" t="s">
        <v>67</v>
      </c>
      <c r="G631" t="s">
        <v>68</v>
      </c>
      <c r="H631">
        <v>2</v>
      </c>
      <c r="I631">
        <v>134.53</v>
      </c>
      <c r="J631" t="s">
        <v>78</v>
      </c>
      <c r="K631" t="s">
        <v>70</v>
      </c>
      <c r="L631" t="s">
        <v>239</v>
      </c>
      <c r="M631" t="s">
        <v>72</v>
      </c>
      <c r="N631">
        <v>2</v>
      </c>
      <c r="O631">
        <v>0</v>
      </c>
      <c r="P631">
        <v>0</v>
      </c>
      <c r="Q631">
        <v>2</v>
      </c>
    </row>
    <row r="632" spans="1:17" x14ac:dyDescent="0.2">
      <c r="A632" t="s">
        <v>737</v>
      </c>
      <c r="B632" t="s">
        <v>738</v>
      </c>
      <c r="C632" t="s">
        <v>739</v>
      </c>
      <c r="D632" s="8">
        <v>12613402</v>
      </c>
      <c r="E632" t="s">
        <v>73</v>
      </c>
      <c r="F632" t="s">
        <v>67</v>
      </c>
      <c r="G632" t="s">
        <v>68</v>
      </c>
      <c r="H632">
        <v>6</v>
      </c>
      <c r="I632">
        <v>18.32</v>
      </c>
      <c r="J632" t="s">
        <v>78</v>
      </c>
      <c r="K632" t="s">
        <v>70</v>
      </c>
      <c r="L632" t="s">
        <v>239</v>
      </c>
      <c r="M632" t="s">
        <v>72</v>
      </c>
      <c r="N632">
        <v>0.01</v>
      </c>
      <c r="O632">
        <v>1.0000000000000009E-2</v>
      </c>
      <c r="P632">
        <v>6</v>
      </c>
      <c r="Q632">
        <v>0</v>
      </c>
    </row>
    <row r="633" spans="1:17" x14ac:dyDescent="0.2">
      <c r="A633" t="s">
        <v>737</v>
      </c>
      <c r="B633" t="s">
        <v>738</v>
      </c>
      <c r="C633" t="s">
        <v>739</v>
      </c>
      <c r="D633" s="8">
        <v>12605969</v>
      </c>
      <c r="E633" t="s">
        <v>66</v>
      </c>
      <c r="F633" t="s">
        <v>67</v>
      </c>
      <c r="G633" t="s">
        <v>68</v>
      </c>
      <c r="H633">
        <v>2</v>
      </c>
      <c r="I633">
        <v>37.5</v>
      </c>
      <c r="J633" t="s">
        <v>78</v>
      </c>
      <c r="K633" t="s">
        <v>70</v>
      </c>
      <c r="L633" t="s">
        <v>239</v>
      </c>
      <c r="M633" t="s">
        <v>72</v>
      </c>
      <c r="N633">
        <v>0.01</v>
      </c>
      <c r="O633">
        <v>1.0000000000000009E-2</v>
      </c>
      <c r="P633">
        <v>2</v>
      </c>
      <c r="Q633">
        <v>0</v>
      </c>
    </row>
    <row r="634" spans="1:17" x14ac:dyDescent="0.2">
      <c r="A634" t="s">
        <v>737</v>
      </c>
      <c r="B634" t="s">
        <v>738</v>
      </c>
      <c r="C634" t="s">
        <v>739</v>
      </c>
      <c r="D634" s="8">
        <v>12436421</v>
      </c>
      <c r="E634" t="s">
        <v>6</v>
      </c>
      <c r="F634" t="s">
        <v>67</v>
      </c>
      <c r="G634" t="s">
        <v>68</v>
      </c>
      <c r="H634">
        <v>8</v>
      </c>
      <c r="I634">
        <v>85.97</v>
      </c>
      <c r="J634" t="s">
        <v>78</v>
      </c>
      <c r="K634" t="s">
        <v>70</v>
      </c>
      <c r="L634" t="s">
        <v>239</v>
      </c>
      <c r="M634" t="s">
        <v>72</v>
      </c>
      <c r="N634">
        <v>0.04</v>
      </c>
      <c r="O634">
        <v>4.0000000000000036E-2</v>
      </c>
      <c r="P634">
        <v>8</v>
      </c>
      <c r="Q634">
        <v>0</v>
      </c>
    </row>
    <row r="635" spans="1:17" x14ac:dyDescent="0.2">
      <c r="A635" t="s">
        <v>737</v>
      </c>
      <c r="B635" t="s">
        <v>738</v>
      </c>
      <c r="C635" t="s">
        <v>739</v>
      </c>
      <c r="D635" s="8">
        <v>12604377</v>
      </c>
      <c r="E635" t="s">
        <v>93</v>
      </c>
      <c r="F635" t="s">
        <v>67</v>
      </c>
      <c r="G635" t="s">
        <v>68</v>
      </c>
      <c r="H635">
        <v>5</v>
      </c>
      <c r="I635">
        <v>67.27</v>
      </c>
      <c r="J635" t="s">
        <v>78</v>
      </c>
      <c r="K635" t="s">
        <v>70</v>
      </c>
      <c r="L635" t="s">
        <v>239</v>
      </c>
      <c r="M635" t="s">
        <v>72</v>
      </c>
      <c r="N635">
        <v>0.03</v>
      </c>
      <c r="O635">
        <v>3.0000000000000027E-2</v>
      </c>
      <c r="P635">
        <v>5</v>
      </c>
      <c r="Q635">
        <v>0</v>
      </c>
    </row>
    <row r="636" spans="1:17" x14ac:dyDescent="0.2">
      <c r="A636" t="s">
        <v>737</v>
      </c>
      <c r="B636" t="s">
        <v>738</v>
      </c>
      <c r="C636" t="s">
        <v>739</v>
      </c>
      <c r="D636" s="8">
        <v>12575127</v>
      </c>
      <c r="E636" t="s">
        <v>13</v>
      </c>
      <c r="F636" t="s">
        <v>67</v>
      </c>
      <c r="G636" t="s">
        <v>68</v>
      </c>
      <c r="H636">
        <v>12</v>
      </c>
      <c r="I636">
        <v>103.97</v>
      </c>
      <c r="J636" t="s">
        <v>78</v>
      </c>
      <c r="K636" t="s">
        <v>70</v>
      </c>
      <c r="L636" t="s">
        <v>239</v>
      </c>
      <c r="M636" t="s">
        <v>72</v>
      </c>
      <c r="N636">
        <v>0.02</v>
      </c>
      <c r="O636">
        <v>2.0000000000000018E-2</v>
      </c>
      <c r="P636">
        <v>12</v>
      </c>
      <c r="Q636">
        <v>0</v>
      </c>
    </row>
    <row r="637" spans="1:17" x14ac:dyDescent="0.2">
      <c r="A637" t="s">
        <v>737</v>
      </c>
      <c r="B637" t="s">
        <v>738</v>
      </c>
      <c r="C637" t="s">
        <v>739</v>
      </c>
      <c r="D637" s="8">
        <v>12560070</v>
      </c>
      <c r="E637" t="s">
        <v>15</v>
      </c>
      <c r="F637" t="s">
        <v>67</v>
      </c>
      <c r="G637" t="s">
        <v>68</v>
      </c>
      <c r="H637">
        <v>8</v>
      </c>
      <c r="I637">
        <v>38.28</v>
      </c>
      <c r="J637" t="s">
        <v>78</v>
      </c>
      <c r="K637" t="s">
        <v>70</v>
      </c>
      <c r="L637" t="s">
        <v>239</v>
      </c>
      <c r="M637" t="s">
        <v>72</v>
      </c>
      <c r="N637">
        <v>0.01</v>
      </c>
      <c r="O637">
        <v>1.0000000000000009E-2</v>
      </c>
      <c r="P637">
        <v>8</v>
      </c>
      <c r="Q637">
        <v>0</v>
      </c>
    </row>
    <row r="638" spans="1:17" x14ac:dyDescent="0.2">
      <c r="A638" t="s">
        <v>740</v>
      </c>
      <c r="B638" t="s">
        <v>741</v>
      </c>
      <c r="C638" t="s">
        <v>742</v>
      </c>
      <c r="D638" s="8">
        <v>43564</v>
      </c>
      <c r="E638" t="s">
        <v>97</v>
      </c>
      <c r="F638" t="s">
        <v>67</v>
      </c>
      <c r="G638" t="s">
        <v>68</v>
      </c>
      <c r="H638">
        <v>2</v>
      </c>
      <c r="I638">
        <v>134.53</v>
      </c>
      <c r="J638" t="s">
        <v>78</v>
      </c>
      <c r="K638" t="s">
        <v>70</v>
      </c>
      <c r="L638" t="s">
        <v>239</v>
      </c>
      <c r="M638" t="s">
        <v>72</v>
      </c>
      <c r="N638">
        <v>2</v>
      </c>
      <c r="O638">
        <v>0</v>
      </c>
      <c r="P638">
        <v>0</v>
      </c>
      <c r="Q638">
        <v>2</v>
      </c>
    </row>
    <row r="639" spans="1:17" x14ac:dyDescent="0.2">
      <c r="A639" t="s">
        <v>740</v>
      </c>
      <c r="B639" t="s">
        <v>741</v>
      </c>
      <c r="C639" t="s">
        <v>742</v>
      </c>
      <c r="D639" s="8">
        <v>12613402</v>
      </c>
      <c r="E639" t="s">
        <v>73</v>
      </c>
      <c r="F639" t="s">
        <v>67</v>
      </c>
      <c r="G639" t="s">
        <v>68</v>
      </c>
      <c r="H639">
        <v>6</v>
      </c>
      <c r="I639">
        <v>18.32</v>
      </c>
      <c r="J639" t="s">
        <v>78</v>
      </c>
      <c r="K639" t="s">
        <v>70</v>
      </c>
      <c r="L639" t="s">
        <v>239</v>
      </c>
      <c r="M639" t="s">
        <v>72</v>
      </c>
      <c r="N639">
        <v>0.01</v>
      </c>
      <c r="O639">
        <v>1.0000000000000009E-2</v>
      </c>
      <c r="P639">
        <v>6</v>
      </c>
      <c r="Q639">
        <v>0</v>
      </c>
    </row>
    <row r="640" spans="1:17" x14ac:dyDescent="0.2">
      <c r="A640" t="s">
        <v>740</v>
      </c>
      <c r="B640" t="s">
        <v>741</v>
      </c>
      <c r="C640" t="s">
        <v>742</v>
      </c>
      <c r="D640" s="8">
        <v>12605969</v>
      </c>
      <c r="E640" t="s">
        <v>66</v>
      </c>
      <c r="F640" t="s">
        <v>67</v>
      </c>
      <c r="G640" t="s">
        <v>68</v>
      </c>
      <c r="H640">
        <v>2</v>
      </c>
      <c r="I640">
        <v>37.5</v>
      </c>
      <c r="J640" t="s">
        <v>78</v>
      </c>
      <c r="K640" t="s">
        <v>70</v>
      </c>
      <c r="L640" t="s">
        <v>239</v>
      </c>
      <c r="M640" t="s">
        <v>72</v>
      </c>
      <c r="N640">
        <v>0.01</v>
      </c>
      <c r="O640">
        <v>1.0000000000000009E-2</v>
      </c>
      <c r="P640">
        <v>2</v>
      </c>
      <c r="Q640">
        <v>0</v>
      </c>
    </row>
    <row r="641" spans="1:17" x14ac:dyDescent="0.2">
      <c r="A641" t="s">
        <v>740</v>
      </c>
      <c r="B641" t="s">
        <v>741</v>
      </c>
      <c r="C641" t="s">
        <v>742</v>
      </c>
      <c r="D641" s="8">
        <v>12436421</v>
      </c>
      <c r="E641" t="s">
        <v>6</v>
      </c>
      <c r="F641" t="s">
        <v>67</v>
      </c>
      <c r="G641" t="s">
        <v>68</v>
      </c>
      <c r="H641">
        <v>8</v>
      </c>
      <c r="I641">
        <v>85.97</v>
      </c>
      <c r="J641" t="s">
        <v>78</v>
      </c>
      <c r="K641" t="s">
        <v>70</v>
      </c>
      <c r="L641" t="s">
        <v>239</v>
      </c>
      <c r="M641" t="s">
        <v>72</v>
      </c>
      <c r="N641">
        <v>0.04</v>
      </c>
      <c r="O641">
        <v>4.0000000000000036E-2</v>
      </c>
      <c r="P641">
        <v>8</v>
      </c>
      <c r="Q641">
        <v>0</v>
      </c>
    </row>
    <row r="642" spans="1:17" x14ac:dyDescent="0.2">
      <c r="A642" t="s">
        <v>740</v>
      </c>
      <c r="B642" t="s">
        <v>741</v>
      </c>
      <c r="C642" t="s">
        <v>742</v>
      </c>
      <c r="D642" s="8">
        <v>12604377</v>
      </c>
      <c r="E642" t="s">
        <v>93</v>
      </c>
      <c r="F642" t="s">
        <v>67</v>
      </c>
      <c r="G642" t="s">
        <v>68</v>
      </c>
      <c r="H642">
        <v>5</v>
      </c>
      <c r="I642">
        <v>67.27</v>
      </c>
      <c r="J642" t="s">
        <v>78</v>
      </c>
      <c r="K642" t="s">
        <v>70</v>
      </c>
      <c r="L642" t="s">
        <v>239</v>
      </c>
      <c r="M642" t="s">
        <v>72</v>
      </c>
      <c r="N642">
        <v>0.03</v>
      </c>
      <c r="O642">
        <v>3.0000000000000027E-2</v>
      </c>
      <c r="P642">
        <v>5</v>
      </c>
      <c r="Q642">
        <v>0</v>
      </c>
    </row>
    <row r="643" spans="1:17" x14ac:dyDescent="0.2">
      <c r="A643" t="s">
        <v>740</v>
      </c>
      <c r="B643" t="s">
        <v>741</v>
      </c>
      <c r="C643" t="s">
        <v>742</v>
      </c>
      <c r="D643" s="8">
        <v>12575127</v>
      </c>
      <c r="E643" t="s">
        <v>13</v>
      </c>
      <c r="F643" t="s">
        <v>67</v>
      </c>
      <c r="G643" t="s">
        <v>68</v>
      </c>
      <c r="H643">
        <v>12</v>
      </c>
      <c r="I643">
        <v>103.97</v>
      </c>
      <c r="J643" t="s">
        <v>78</v>
      </c>
      <c r="K643" t="s">
        <v>70</v>
      </c>
      <c r="L643" t="s">
        <v>239</v>
      </c>
      <c r="M643" t="s">
        <v>72</v>
      </c>
      <c r="N643">
        <v>0.02</v>
      </c>
      <c r="O643">
        <v>2.0000000000000018E-2</v>
      </c>
      <c r="P643">
        <v>12</v>
      </c>
      <c r="Q643">
        <v>0</v>
      </c>
    </row>
    <row r="644" spans="1:17" x14ac:dyDescent="0.2">
      <c r="A644" t="s">
        <v>740</v>
      </c>
      <c r="B644" t="s">
        <v>741</v>
      </c>
      <c r="C644" t="s">
        <v>742</v>
      </c>
      <c r="D644" s="8">
        <v>12560070</v>
      </c>
      <c r="E644" t="s">
        <v>15</v>
      </c>
      <c r="F644" t="s">
        <v>67</v>
      </c>
      <c r="G644" t="s">
        <v>68</v>
      </c>
      <c r="H644">
        <v>8</v>
      </c>
      <c r="I644">
        <v>38.28</v>
      </c>
      <c r="J644" t="s">
        <v>78</v>
      </c>
      <c r="K644" t="s">
        <v>70</v>
      </c>
      <c r="L644" t="s">
        <v>239</v>
      </c>
      <c r="M644" t="s">
        <v>72</v>
      </c>
      <c r="N644">
        <v>0.01</v>
      </c>
      <c r="O644">
        <v>1.0000000000000009E-2</v>
      </c>
      <c r="P644">
        <v>8</v>
      </c>
      <c r="Q644">
        <v>0</v>
      </c>
    </row>
    <row r="645" spans="1:17" x14ac:dyDescent="0.2">
      <c r="A645" t="s">
        <v>743</v>
      </c>
      <c r="B645" t="s">
        <v>744</v>
      </c>
      <c r="C645" t="s">
        <v>745</v>
      </c>
      <c r="D645" s="8">
        <v>12575127</v>
      </c>
      <c r="E645" t="s">
        <v>13</v>
      </c>
      <c r="F645" t="s">
        <v>67</v>
      </c>
      <c r="G645" t="s">
        <v>68</v>
      </c>
      <c r="H645">
        <v>12</v>
      </c>
      <c r="I645">
        <v>103.97</v>
      </c>
      <c r="J645" t="s">
        <v>77</v>
      </c>
      <c r="K645" t="s">
        <v>70</v>
      </c>
      <c r="L645" t="s">
        <v>239</v>
      </c>
      <c r="M645" t="s">
        <v>72</v>
      </c>
      <c r="N645">
        <v>0.02</v>
      </c>
      <c r="O645">
        <v>2.0000000000000018E-2</v>
      </c>
      <c r="P645">
        <v>12</v>
      </c>
      <c r="Q645">
        <v>0</v>
      </c>
    </row>
    <row r="646" spans="1:17" x14ac:dyDescent="0.2">
      <c r="A646" t="s">
        <v>746</v>
      </c>
      <c r="B646" t="s">
        <v>747</v>
      </c>
      <c r="C646" t="s">
        <v>310</v>
      </c>
      <c r="D646" s="8">
        <v>43564</v>
      </c>
      <c r="E646" t="s">
        <v>97</v>
      </c>
      <c r="F646" t="s">
        <v>67</v>
      </c>
      <c r="G646" t="s">
        <v>68</v>
      </c>
      <c r="H646">
        <v>2</v>
      </c>
      <c r="I646">
        <v>134.53</v>
      </c>
      <c r="J646" t="s">
        <v>78</v>
      </c>
      <c r="K646" t="s">
        <v>70</v>
      </c>
      <c r="L646" t="s">
        <v>239</v>
      </c>
      <c r="M646" t="s">
        <v>72</v>
      </c>
      <c r="N646">
        <v>2</v>
      </c>
      <c r="O646">
        <v>0</v>
      </c>
      <c r="P646">
        <v>0</v>
      </c>
      <c r="Q646">
        <v>2</v>
      </c>
    </row>
    <row r="647" spans="1:17" x14ac:dyDescent="0.2">
      <c r="A647" t="s">
        <v>746</v>
      </c>
      <c r="B647" t="s">
        <v>747</v>
      </c>
      <c r="C647" t="s">
        <v>310</v>
      </c>
      <c r="D647" s="8">
        <v>12613402</v>
      </c>
      <c r="E647" t="s">
        <v>73</v>
      </c>
      <c r="F647" t="s">
        <v>67</v>
      </c>
      <c r="G647" t="s">
        <v>68</v>
      </c>
      <c r="H647">
        <v>6</v>
      </c>
      <c r="I647">
        <v>18.32</v>
      </c>
      <c r="J647" t="s">
        <v>78</v>
      </c>
      <c r="K647" t="s">
        <v>70</v>
      </c>
      <c r="L647" t="s">
        <v>239</v>
      </c>
      <c r="M647" t="s">
        <v>72</v>
      </c>
      <c r="N647">
        <v>0.01</v>
      </c>
      <c r="O647">
        <v>1.0000000000000009E-2</v>
      </c>
      <c r="P647">
        <v>6</v>
      </c>
      <c r="Q647">
        <v>0</v>
      </c>
    </row>
    <row r="648" spans="1:17" x14ac:dyDescent="0.2">
      <c r="A648" t="s">
        <v>746</v>
      </c>
      <c r="B648" t="s">
        <v>747</v>
      </c>
      <c r="C648" t="s">
        <v>310</v>
      </c>
      <c r="D648" s="8">
        <v>12436421</v>
      </c>
      <c r="E648" t="s">
        <v>6</v>
      </c>
      <c r="F648" t="s">
        <v>67</v>
      </c>
      <c r="G648" t="s">
        <v>68</v>
      </c>
      <c r="H648">
        <v>4</v>
      </c>
      <c r="I648">
        <v>42.99</v>
      </c>
      <c r="J648" t="s">
        <v>78</v>
      </c>
      <c r="K648" t="s">
        <v>70</v>
      </c>
      <c r="L648" t="s">
        <v>239</v>
      </c>
      <c r="M648" t="s">
        <v>72</v>
      </c>
      <c r="N648">
        <v>0.02</v>
      </c>
      <c r="O648">
        <v>2.0000000000000018E-2</v>
      </c>
      <c r="P648">
        <v>4</v>
      </c>
      <c r="Q648">
        <v>0</v>
      </c>
    </row>
    <row r="649" spans="1:17" x14ac:dyDescent="0.2">
      <c r="A649" t="s">
        <v>748</v>
      </c>
      <c r="B649" t="s">
        <v>749</v>
      </c>
      <c r="C649" t="s">
        <v>750</v>
      </c>
      <c r="D649" s="8">
        <v>12575101</v>
      </c>
      <c r="E649" t="s">
        <v>9</v>
      </c>
      <c r="F649" t="s">
        <v>67</v>
      </c>
      <c r="G649" t="s">
        <v>68</v>
      </c>
      <c r="H649">
        <v>1</v>
      </c>
      <c r="I649">
        <v>239.34</v>
      </c>
      <c r="J649" t="s">
        <v>77</v>
      </c>
      <c r="K649" t="s">
        <v>70</v>
      </c>
      <c r="L649" t="s">
        <v>239</v>
      </c>
      <c r="M649" t="s">
        <v>72</v>
      </c>
      <c r="N649">
        <v>0.06</v>
      </c>
      <c r="O649">
        <v>6.0000000000000053E-2</v>
      </c>
      <c r="P649">
        <v>1</v>
      </c>
      <c r="Q649">
        <v>0</v>
      </c>
    </row>
    <row r="650" spans="1:17" x14ac:dyDescent="0.2">
      <c r="A650" t="s">
        <v>751</v>
      </c>
      <c r="B650" t="s">
        <v>749</v>
      </c>
      <c r="C650" t="s">
        <v>750</v>
      </c>
      <c r="D650" s="8">
        <v>12436421</v>
      </c>
      <c r="E650" t="s">
        <v>6</v>
      </c>
      <c r="F650" t="s">
        <v>67</v>
      </c>
      <c r="G650" t="s">
        <v>68</v>
      </c>
      <c r="H650">
        <v>4</v>
      </c>
      <c r="I650">
        <v>42.99</v>
      </c>
      <c r="J650" t="s">
        <v>77</v>
      </c>
      <c r="K650" t="s">
        <v>70</v>
      </c>
      <c r="L650" t="s">
        <v>239</v>
      </c>
      <c r="M650" t="s">
        <v>72</v>
      </c>
      <c r="N650">
        <v>0.02</v>
      </c>
      <c r="O650">
        <v>2.0000000000000018E-2</v>
      </c>
      <c r="P650">
        <v>4</v>
      </c>
      <c r="Q650">
        <v>0</v>
      </c>
    </row>
    <row r="651" spans="1:17" x14ac:dyDescent="0.2">
      <c r="A651" t="s">
        <v>751</v>
      </c>
      <c r="B651" t="s">
        <v>749</v>
      </c>
      <c r="C651" t="s">
        <v>750</v>
      </c>
      <c r="D651" s="8">
        <v>12575127</v>
      </c>
      <c r="E651" t="s">
        <v>13</v>
      </c>
      <c r="F651" t="s">
        <v>67</v>
      </c>
      <c r="G651" t="s">
        <v>68</v>
      </c>
      <c r="H651">
        <v>12</v>
      </c>
      <c r="I651">
        <v>103.97</v>
      </c>
      <c r="J651" t="s">
        <v>77</v>
      </c>
      <c r="K651" t="s">
        <v>70</v>
      </c>
      <c r="L651" t="s">
        <v>239</v>
      </c>
      <c r="M651" t="s">
        <v>72</v>
      </c>
      <c r="N651">
        <v>0.02</v>
      </c>
      <c r="O651">
        <v>2.0000000000000018E-2</v>
      </c>
      <c r="P651">
        <v>12</v>
      </c>
      <c r="Q651">
        <v>0</v>
      </c>
    </row>
    <row r="652" spans="1:17" x14ac:dyDescent="0.2">
      <c r="A652" t="s">
        <v>752</v>
      </c>
      <c r="B652" t="s">
        <v>753</v>
      </c>
      <c r="C652" t="s">
        <v>754</v>
      </c>
      <c r="D652" s="8">
        <v>43564</v>
      </c>
      <c r="E652" t="s">
        <v>97</v>
      </c>
      <c r="F652" t="s">
        <v>67</v>
      </c>
      <c r="G652" t="s">
        <v>68</v>
      </c>
      <c r="H652">
        <v>2</v>
      </c>
      <c r="I652">
        <v>134.53</v>
      </c>
      <c r="J652" t="s">
        <v>78</v>
      </c>
      <c r="K652" t="s">
        <v>70</v>
      </c>
      <c r="L652" t="s">
        <v>239</v>
      </c>
      <c r="M652" t="s">
        <v>72</v>
      </c>
      <c r="N652">
        <v>2</v>
      </c>
      <c r="O652">
        <v>0</v>
      </c>
      <c r="P652">
        <v>0</v>
      </c>
      <c r="Q652">
        <v>2</v>
      </c>
    </row>
    <row r="653" spans="1:17" x14ac:dyDescent="0.2">
      <c r="A653" t="s">
        <v>752</v>
      </c>
      <c r="B653" t="s">
        <v>753</v>
      </c>
      <c r="C653" t="s">
        <v>754</v>
      </c>
      <c r="D653" s="8">
        <v>12613402</v>
      </c>
      <c r="E653" t="s">
        <v>73</v>
      </c>
      <c r="F653" t="s">
        <v>67</v>
      </c>
      <c r="G653" t="s">
        <v>68</v>
      </c>
      <c r="H653">
        <v>6</v>
      </c>
      <c r="I653">
        <v>18.32</v>
      </c>
      <c r="J653" t="s">
        <v>78</v>
      </c>
      <c r="K653" t="s">
        <v>70</v>
      </c>
      <c r="L653" t="s">
        <v>239</v>
      </c>
      <c r="M653" t="s">
        <v>72</v>
      </c>
      <c r="N653">
        <v>0.01</v>
      </c>
      <c r="O653">
        <v>1.0000000000000009E-2</v>
      </c>
      <c r="P653">
        <v>6</v>
      </c>
      <c r="Q653">
        <v>0</v>
      </c>
    </row>
    <row r="654" spans="1:17" x14ac:dyDescent="0.2">
      <c r="A654" t="s">
        <v>752</v>
      </c>
      <c r="B654" t="s">
        <v>753</v>
      </c>
      <c r="C654" t="s">
        <v>754</v>
      </c>
      <c r="D654" s="8">
        <v>12605969</v>
      </c>
      <c r="E654" t="s">
        <v>66</v>
      </c>
      <c r="F654" t="s">
        <v>67</v>
      </c>
      <c r="G654" t="s">
        <v>68</v>
      </c>
      <c r="H654">
        <v>2</v>
      </c>
      <c r="I654">
        <v>37.5</v>
      </c>
      <c r="J654" t="s">
        <v>78</v>
      </c>
      <c r="K654" t="s">
        <v>70</v>
      </c>
      <c r="L654" t="s">
        <v>239</v>
      </c>
      <c r="M654" t="s">
        <v>72</v>
      </c>
      <c r="N654">
        <v>0.01</v>
      </c>
      <c r="O654">
        <v>1.0000000000000009E-2</v>
      </c>
      <c r="P654">
        <v>2</v>
      </c>
      <c r="Q654">
        <v>0</v>
      </c>
    </row>
    <row r="655" spans="1:17" x14ac:dyDescent="0.2">
      <c r="A655" t="s">
        <v>752</v>
      </c>
      <c r="B655" t="s">
        <v>753</v>
      </c>
      <c r="C655" t="s">
        <v>754</v>
      </c>
      <c r="D655" s="8">
        <v>12436421</v>
      </c>
      <c r="E655" t="s">
        <v>6</v>
      </c>
      <c r="F655" t="s">
        <v>67</v>
      </c>
      <c r="G655" t="s">
        <v>68</v>
      </c>
      <c r="H655">
        <v>8</v>
      </c>
      <c r="I655">
        <v>85.97</v>
      </c>
      <c r="J655" t="s">
        <v>78</v>
      </c>
      <c r="K655" t="s">
        <v>70</v>
      </c>
      <c r="L655" t="s">
        <v>239</v>
      </c>
      <c r="M655" t="s">
        <v>72</v>
      </c>
      <c r="N655">
        <v>0.04</v>
      </c>
      <c r="O655">
        <v>4.0000000000000036E-2</v>
      </c>
      <c r="P655">
        <v>8</v>
      </c>
      <c r="Q655">
        <v>0</v>
      </c>
    </row>
    <row r="656" spans="1:17" x14ac:dyDescent="0.2">
      <c r="A656" t="s">
        <v>752</v>
      </c>
      <c r="B656" t="s">
        <v>753</v>
      </c>
      <c r="C656" t="s">
        <v>754</v>
      </c>
      <c r="D656" s="8">
        <v>12604377</v>
      </c>
      <c r="E656" t="s">
        <v>93</v>
      </c>
      <c r="F656" t="s">
        <v>67</v>
      </c>
      <c r="G656" t="s">
        <v>68</v>
      </c>
      <c r="H656">
        <v>5</v>
      </c>
      <c r="I656">
        <v>67.27</v>
      </c>
      <c r="J656" t="s">
        <v>78</v>
      </c>
      <c r="K656" t="s">
        <v>70</v>
      </c>
      <c r="L656" t="s">
        <v>239</v>
      </c>
      <c r="M656" t="s">
        <v>72</v>
      </c>
      <c r="N656">
        <v>0.03</v>
      </c>
      <c r="O656">
        <v>3.0000000000000027E-2</v>
      </c>
      <c r="P656">
        <v>5</v>
      </c>
      <c r="Q656">
        <v>0</v>
      </c>
    </row>
    <row r="657" spans="1:17" x14ac:dyDescent="0.2">
      <c r="A657" t="s">
        <v>752</v>
      </c>
      <c r="B657" t="s">
        <v>753</v>
      </c>
      <c r="C657" t="s">
        <v>754</v>
      </c>
      <c r="D657" s="8">
        <v>12575127</v>
      </c>
      <c r="E657" t="s">
        <v>13</v>
      </c>
      <c r="F657" t="s">
        <v>67</v>
      </c>
      <c r="G657" t="s">
        <v>68</v>
      </c>
      <c r="H657">
        <v>12</v>
      </c>
      <c r="I657">
        <v>103.97</v>
      </c>
      <c r="J657" t="s">
        <v>78</v>
      </c>
      <c r="K657" t="s">
        <v>70</v>
      </c>
      <c r="L657" t="s">
        <v>239</v>
      </c>
      <c r="M657" t="s">
        <v>72</v>
      </c>
      <c r="N657">
        <v>0.02</v>
      </c>
      <c r="O657">
        <v>2.0000000000000018E-2</v>
      </c>
      <c r="P657">
        <v>12</v>
      </c>
      <c r="Q657">
        <v>0</v>
      </c>
    </row>
    <row r="658" spans="1:17" x14ac:dyDescent="0.2">
      <c r="A658" t="s">
        <v>752</v>
      </c>
      <c r="B658" t="s">
        <v>753</v>
      </c>
      <c r="C658" t="s">
        <v>754</v>
      </c>
      <c r="D658" s="8">
        <v>12560070</v>
      </c>
      <c r="E658" t="s">
        <v>15</v>
      </c>
      <c r="F658" t="s">
        <v>67</v>
      </c>
      <c r="G658" t="s">
        <v>68</v>
      </c>
      <c r="H658">
        <v>8</v>
      </c>
      <c r="I658">
        <v>38.28</v>
      </c>
      <c r="J658" t="s">
        <v>78</v>
      </c>
      <c r="K658" t="s">
        <v>70</v>
      </c>
      <c r="L658" t="s">
        <v>239</v>
      </c>
      <c r="M658" t="s">
        <v>72</v>
      </c>
      <c r="N658">
        <v>0.01</v>
      </c>
      <c r="O658">
        <v>1.0000000000000009E-2</v>
      </c>
      <c r="P658">
        <v>8</v>
      </c>
      <c r="Q658">
        <v>0</v>
      </c>
    </row>
    <row r="659" spans="1:17" x14ac:dyDescent="0.2">
      <c r="A659" t="s">
        <v>755</v>
      </c>
      <c r="B659" t="s">
        <v>756</v>
      </c>
      <c r="C659" t="s">
        <v>757</v>
      </c>
      <c r="D659" s="8">
        <v>43564</v>
      </c>
      <c r="E659" t="s">
        <v>97</v>
      </c>
      <c r="F659" t="s">
        <v>67</v>
      </c>
      <c r="G659" t="s">
        <v>68</v>
      </c>
      <c r="H659">
        <v>2</v>
      </c>
      <c r="I659">
        <v>134.53</v>
      </c>
      <c r="J659" t="s">
        <v>78</v>
      </c>
      <c r="K659" t="s">
        <v>70</v>
      </c>
      <c r="L659" t="s">
        <v>239</v>
      </c>
      <c r="M659" t="s">
        <v>72</v>
      </c>
      <c r="N659">
        <v>2</v>
      </c>
      <c r="O659">
        <v>0</v>
      </c>
      <c r="P659">
        <v>0</v>
      </c>
      <c r="Q659">
        <v>2</v>
      </c>
    </row>
    <row r="660" spans="1:17" x14ac:dyDescent="0.2">
      <c r="A660" t="s">
        <v>755</v>
      </c>
      <c r="B660" t="s">
        <v>756</v>
      </c>
      <c r="C660" t="s">
        <v>757</v>
      </c>
      <c r="D660" s="8">
        <v>12613402</v>
      </c>
      <c r="E660" t="s">
        <v>73</v>
      </c>
      <c r="F660" t="s">
        <v>67</v>
      </c>
      <c r="G660" t="s">
        <v>68</v>
      </c>
      <c r="H660">
        <v>6</v>
      </c>
      <c r="I660">
        <v>18.32</v>
      </c>
      <c r="J660" t="s">
        <v>78</v>
      </c>
      <c r="K660" t="s">
        <v>70</v>
      </c>
      <c r="L660" t="s">
        <v>239</v>
      </c>
      <c r="M660" t="s">
        <v>72</v>
      </c>
      <c r="N660">
        <v>0.01</v>
      </c>
      <c r="O660">
        <v>1.0000000000000009E-2</v>
      </c>
      <c r="P660">
        <v>6</v>
      </c>
      <c r="Q660">
        <v>0</v>
      </c>
    </row>
    <row r="661" spans="1:17" x14ac:dyDescent="0.2">
      <c r="A661" t="s">
        <v>755</v>
      </c>
      <c r="B661" t="s">
        <v>756</v>
      </c>
      <c r="C661" t="s">
        <v>757</v>
      </c>
      <c r="D661" s="8">
        <v>12605969</v>
      </c>
      <c r="E661" t="s">
        <v>66</v>
      </c>
      <c r="F661" t="s">
        <v>67</v>
      </c>
      <c r="G661" t="s">
        <v>68</v>
      </c>
      <c r="H661">
        <v>2</v>
      </c>
      <c r="I661">
        <v>37.5</v>
      </c>
      <c r="J661" t="s">
        <v>78</v>
      </c>
      <c r="K661" t="s">
        <v>70</v>
      </c>
      <c r="L661" t="s">
        <v>239</v>
      </c>
      <c r="M661" t="s">
        <v>72</v>
      </c>
      <c r="N661">
        <v>0.01</v>
      </c>
      <c r="O661">
        <v>1.0000000000000009E-2</v>
      </c>
      <c r="P661">
        <v>2</v>
      </c>
      <c r="Q661">
        <v>0</v>
      </c>
    </row>
    <row r="662" spans="1:17" x14ac:dyDescent="0.2">
      <c r="A662" t="s">
        <v>755</v>
      </c>
      <c r="B662" t="s">
        <v>756</v>
      </c>
      <c r="C662" t="s">
        <v>757</v>
      </c>
      <c r="D662" s="8">
        <v>12436421</v>
      </c>
      <c r="E662" t="s">
        <v>6</v>
      </c>
      <c r="F662" t="s">
        <v>67</v>
      </c>
      <c r="G662" t="s">
        <v>68</v>
      </c>
      <c r="H662">
        <v>8</v>
      </c>
      <c r="I662">
        <v>85.97</v>
      </c>
      <c r="J662" t="s">
        <v>78</v>
      </c>
      <c r="K662" t="s">
        <v>70</v>
      </c>
      <c r="L662" t="s">
        <v>239</v>
      </c>
      <c r="M662" t="s">
        <v>72</v>
      </c>
      <c r="N662">
        <v>0.04</v>
      </c>
      <c r="O662">
        <v>4.0000000000000036E-2</v>
      </c>
      <c r="P662">
        <v>8</v>
      </c>
      <c r="Q662">
        <v>0</v>
      </c>
    </row>
    <row r="663" spans="1:17" x14ac:dyDescent="0.2">
      <c r="A663" t="s">
        <v>755</v>
      </c>
      <c r="B663" t="s">
        <v>756</v>
      </c>
      <c r="C663" t="s">
        <v>757</v>
      </c>
      <c r="D663" s="8">
        <v>12604377</v>
      </c>
      <c r="E663" t="s">
        <v>93</v>
      </c>
      <c r="F663" t="s">
        <v>67</v>
      </c>
      <c r="G663" t="s">
        <v>68</v>
      </c>
      <c r="H663">
        <v>5</v>
      </c>
      <c r="I663">
        <v>67.27</v>
      </c>
      <c r="J663" t="s">
        <v>78</v>
      </c>
      <c r="K663" t="s">
        <v>70</v>
      </c>
      <c r="L663" t="s">
        <v>239</v>
      </c>
      <c r="M663" t="s">
        <v>72</v>
      </c>
      <c r="N663">
        <v>0.03</v>
      </c>
      <c r="O663">
        <v>3.0000000000000027E-2</v>
      </c>
      <c r="P663">
        <v>5</v>
      </c>
      <c r="Q663">
        <v>0</v>
      </c>
    </row>
    <row r="664" spans="1:17" x14ac:dyDescent="0.2">
      <c r="A664" t="s">
        <v>755</v>
      </c>
      <c r="B664" t="s">
        <v>756</v>
      </c>
      <c r="C664" t="s">
        <v>757</v>
      </c>
      <c r="D664" s="8">
        <v>12560070</v>
      </c>
      <c r="E664" t="s">
        <v>15</v>
      </c>
      <c r="F664" t="s">
        <v>67</v>
      </c>
      <c r="G664" t="s">
        <v>68</v>
      </c>
      <c r="H664">
        <v>8</v>
      </c>
      <c r="I664">
        <v>38.28</v>
      </c>
      <c r="J664" t="s">
        <v>78</v>
      </c>
      <c r="K664" t="s">
        <v>70</v>
      </c>
      <c r="L664" t="s">
        <v>239</v>
      </c>
      <c r="M664" t="s">
        <v>72</v>
      </c>
      <c r="N664">
        <v>0.01</v>
      </c>
      <c r="O664">
        <v>1.0000000000000009E-2</v>
      </c>
      <c r="P664">
        <v>8</v>
      </c>
      <c r="Q664">
        <v>0</v>
      </c>
    </row>
    <row r="665" spans="1:17" x14ac:dyDescent="0.2">
      <c r="A665" t="s">
        <v>758</v>
      </c>
      <c r="B665" t="s">
        <v>759</v>
      </c>
      <c r="C665" t="s">
        <v>760</v>
      </c>
      <c r="D665" s="8">
        <v>12613402</v>
      </c>
      <c r="E665" t="s">
        <v>73</v>
      </c>
      <c r="F665" t="s">
        <v>67</v>
      </c>
      <c r="G665" t="s">
        <v>68</v>
      </c>
      <c r="H665">
        <v>48</v>
      </c>
      <c r="I665">
        <v>146.63</v>
      </c>
      <c r="J665" t="s">
        <v>78</v>
      </c>
      <c r="K665" t="s">
        <v>70</v>
      </c>
      <c r="L665" t="s">
        <v>239</v>
      </c>
      <c r="M665" t="s">
        <v>72</v>
      </c>
      <c r="N665">
        <v>0.05</v>
      </c>
      <c r="O665">
        <v>5.0000000000000044E-2</v>
      </c>
      <c r="P665">
        <v>48</v>
      </c>
      <c r="Q665">
        <v>0</v>
      </c>
    </row>
    <row r="666" spans="1:17" x14ac:dyDescent="0.2">
      <c r="A666" t="s">
        <v>758</v>
      </c>
      <c r="B666" t="s">
        <v>759</v>
      </c>
      <c r="C666" t="s">
        <v>760</v>
      </c>
      <c r="D666" s="8">
        <v>12605969</v>
      </c>
      <c r="E666" t="s">
        <v>66</v>
      </c>
      <c r="F666" t="s">
        <v>67</v>
      </c>
      <c r="G666" t="s">
        <v>68</v>
      </c>
      <c r="H666">
        <v>12</v>
      </c>
      <c r="I666">
        <v>225.01</v>
      </c>
      <c r="J666" t="s">
        <v>78</v>
      </c>
      <c r="K666" t="s">
        <v>70</v>
      </c>
      <c r="L666" t="s">
        <v>239</v>
      </c>
      <c r="M666" t="s">
        <v>72</v>
      </c>
      <c r="N666">
        <v>0.08</v>
      </c>
      <c r="O666">
        <v>8.0000000000000071E-2</v>
      </c>
      <c r="P666">
        <v>12</v>
      </c>
      <c r="Q666">
        <v>0</v>
      </c>
    </row>
    <row r="667" spans="1:17" x14ac:dyDescent="0.2">
      <c r="A667" t="s">
        <v>758</v>
      </c>
      <c r="B667" t="s">
        <v>759</v>
      </c>
      <c r="C667" t="s">
        <v>760</v>
      </c>
      <c r="D667" s="8">
        <v>14037789</v>
      </c>
      <c r="E667" t="s">
        <v>713</v>
      </c>
      <c r="F667" t="s">
        <v>67</v>
      </c>
      <c r="G667" t="s">
        <v>68</v>
      </c>
      <c r="H667">
        <v>2</v>
      </c>
      <c r="I667">
        <v>269.07</v>
      </c>
      <c r="J667" t="s">
        <v>78</v>
      </c>
      <c r="K667" t="s">
        <v>70</v>
      </c>
      <c r="L667" t="s">
        <v>239</v>
      </c>
      <c r="M667" t="s">
        <v>72</v>
      </c>
      <c r="N667">
        <v>0.13</v>
      </c>
      <c r="O667">
        <v>0.12999999999999989</v>
      </c>
      <c r="P667">
        <v>2</v>
      </c>
      <c r="Q667">
        <v>0</v>
      </c>
    </row>
    <row r="668" spans="1:17" x14ac:dyDescent="0.2">
      <c r="A668" t="s">
        <v>758</v>
      </c>
      <c r="B668" t="s">
        <v>759</v>
      </c>
      <c r="C668" t="s">
        <v>760</v>
      </c>
      <c r="D668" s="8">
        <v>12436421</v>
      </c>
      <c r="E668" t="s">
        <v>6</v>
      </c>
      <c r="F668" t="s">
        <v>67</v>
      </c>
      <c r="G668" t="s">
        <v>68</v>
      </c>
      <c r="H668">
        <v>48</v>
      </c>
      <c r="I668">
        <v>515.83000000000004</v>
      </c>
      <c r="J668" t="s">
        <v>78</v>
      </c>
      <c r="K668" t="s">
        <v>70</v>
      </c>
      <c r="L668" t="s">
        <v>239</v>
      </c>
      <c r="M668" t="s">
        <v>72</v>
      </c>
      <c r="N668">
        <v>0.25</v>
      </c>
      <c r="O668">
        <v>0.25</v>
      </c>
      <c r="P668">
        <v>48</v>
      </c>
      <c r="Q668">
        <v>0</v>
      </c>
    </row>
    <row r="669" spans="1:17" x14ac:dyDescent="0.2">
      <c r="A669" t="s">
        <v>758</v>
      </c>
      <c r="B669" t="s">
        <v>759</v>
      </c>
      <c r="C669" t="s">
        <v>760</v>
      </c>
      <c r="D669" s="8">
        <v>12623528</v>
      </c>
      <c r="E669" t="s">
        <v>274</v>
      </c>
      <c r="F669" t="s">
        <v>67</v>
      </c>
      <c r="G669" t="s">
        <v>68</v>
      </c>
      <c r="H669">
        <v>16</v>
      </c>
      <c r="I669">
        <v>225.09</v>
      </c>
      <c r="J669" t="s">
        <v>78</v>
      </c>
      <c r="K669" t="s">
        <v>70</v>
      </c>
      <c r="L669" t="s">
        <v>239</v>
      </c>
      <c r="M669" t="s">
        <v>72</v>
      </c>
      <c r="N669">
        <v>0.08</v>
      </c>
      <c r="O669">
        <v>8.0000000000000071E-2</v>
      </c>
      <c r="P669">
        <v>16</v>
      </c>
      <c r="Q669">
        <v>0</v>
      </c>
    </row>
    <row r="670" spans="1:17" x14ac:dyDescent="0.2">
      <c r="A670" t="s">
        <v>758</v>
      </c>
      <c r="B670" t="s">
        <v>759</v>
      </c>
      <c r="C670" t="s">
        <v>760</v>
      </c>
      <c r="D670" s="8">
        <v>14038791</v>
      </c>
      <c r="E670" t="s">
        <v>113</v>
      </c>
      <c r="F670" t="s">
        <v>67</v>
      </c>
      <c r="G670" t="s">
        <v>68</v>
      </c>
      <c r="H670">
        <v>3</v>
      </c>
      <c r="I670">
        <v>343.01</v>
      </c>
      <c r="J670" t="s">
        <v>78</v>
      </c>
      <c r="K670" t="s">
        <v>70</v>
      </c>
      <c r="L670" t="s">
        <v>239</v>
      </c>
      <c r="M670" t="s">
        <v>72</v>
      </c>
      <c r="N670">
        <v>0.15</v>
      </c>
      <c r="O670">
        <v>0.14999999999999991</v>
      </c>
      <c r="P670">
        <v>3</v>
      </c>
      <c r="Q670">
        <v>0</v>
      </c>
    </row>
    <row r="671" spans="1:17" x14ac:dyDescent="0.2">
      <c r="A671" t="s">
        <v>758</v>
      </c>
      <c r="B671" t="s">
        <v>759</v>
      </c>
      <c r="C671" t="s">
        <v>760</v>
      </c>
      <c r="D671" s="8">
        <v>12575135</v>
      </c>
      <c r="E671" t="s">
        <v>141</v>
      </c>
      <c r="F671" t="s">
        <v>67</v>
      </c>
      <c r="G671" t="s">
        <v>68</v>
      </c>
      <c r="H671">
        <v>16</v>
      </c>
      <c r="I671">
        <v>268.67</v>
      </c>
      <c r="J671" t="s">
        <v>78</v>
      </c>
      <c r="K671" t="s">
        <v>70</v>
      </c>
      <c r="L671" t="s">
        <v>239</v>
      </c>
      <c r="M671" t="s">
        <v>72</v>
      </c>
      <c r="N671">
        <v>0.06</v>
      </c>
      <c r="O671">
        <v>6.0000000000000053E-2</v>
      </c>
      <c r="P671">
        <v>16</v>
      </c>
      <c r="Q671">
        <v>0</v>
      </c>
    </row>
    <row r="672" spans="1:17" x14ac:dyDescent="0.2">
      <c r="A672" t="s">
        <v>761</v>
      </c>
      <c r="B672" t="s">
        <v>762</v>
      </c>
      <c r="C672" t="s">
        <v>310</v>
      </c>
      <c r="D672" s="8">
        <v>43564</v>
      </c>
      <c r="E672" t="s">
        <v>97</v>
      </c>
      <c r="F672" t="s">
        <v>67</v>
      </c>
      <c r="G672" t="s">
        <v>68</v>
      </c>
      <c r="H672">
        <v>2</v>
      </c>
      <c r="I672">
        <v>134.53</v>
      </c>
      <c r="J672" t="s">
        <v>78</v>
      </c>
      <c r="K672" t="s">
        <v>70</v>
      </c>
      <c r="L672" t="s">
        <v>239</v>
      </c>
      <c r="M672" t="s">
        <v>72</v>
      </c>
      <c r="N672">
        <v>2</v>
      </c>
      <c r="O672">
        <v>0</v>
      </c>
      <c r="P672">
        <v>0</v>
      </c>
      <c r="Q672">
        <v>2</v>
      </c>
    </row>
    <row r="673" spans="1:17" x14ac:dyDescent="0.2">
      <c r="A673" t="s">
        <v>761</v>
      </c>
      <c r="B673" t="s">
        <v>762</v>
      </c>
      <c r="C673" t="s">
        <v>310</v>
      </c>
      <c r="D673" s="8">
        <v>12613402</v>
      </c>
      <c r="E673" t="s">
        <v>73</v>
      </c>
      <c r="F673" t="s">
        <v>67</v>
      </c>
      <c r="G673" t="s">
        <v>68</v>
      </c>
      <c r="H673">
        <v>6</v>
      </c>
      <c r="I673">
        <v>18.32</v>
      </c>
      <c r="J673" t="s">
        <v>78</v>
      </c>
      <c r="K673" t="s">
        <v>70</v>
      </c>
      <c r="L673" t="s">
        <v>239</v>
      </c>
      <c r="M673" t="s">
        <v>72</v>
      </c>
      <c r="N673">
        <v>0.01</v>
      </c>
      <c r="O673">
        <v>1.0000000000000009E-2</v>
      </c>
      <c r="P673">
        <v>6</v>
      </c>
      <c r="Q673">
        <v>0</v>
      </c>
    </row>
    <row r="674" spans="1:17" x14ac:dyDescent="0.2">
      <c r="A674" t="s">
        <v>761</v>
      </c>
      <c r="B674" t="s">
        <v>762</v>
      </c>
      <c r="C674" t="s">
        <v>310</v>
      </c>
      <c r="D674" s="8">
        <v>12605969</v>
      </c>
      <c r="E674" t="s">
        <v>66</v>
      </c>
      <c r="F674" t="s">
        <v>67</v>
      </c>
      <c r="G674" t="s">
        <v>68</v>
      </c>
      <c r="H674">
        <v>2</v>
      </c>
      <c r="I674">
        <v>37.5</v>
      </c>
      <c r="J674" t="s">
        <v>78</v>
      </c>
      <c r="K674" t="s">
        <v>70</v>
      </c>
      <c r="L674" t="s">
        <v>239</v>
      </c>
      <c r="M674" t="s">
        <v>72</v>
      </c>
      <c r="N674">
        <v>0.01</v>
      </c>
      <c r="O674">
        <v>1.0000000000000009E-2</v>
      </c>
      <c r="P674">
        <v>2</v>
      </c>
      <c r="Q674">
        <v>0</v>
      </c>
    </row>
    <row r="675" spans="1:17" x14ac:dyDescent="0.2">
      <c r="A675" t="s">
        <v>761</v>
      </c>
      <c r="B675" t="s">
        <v>762</v>
      </c>
      <c r="C675" t="s">
        <v>310</v>
      </c>
      <c r="D675" s="8">
        <v>12436421</v>
      </c>
      <c r="E675" t="s">
        <v>6</v>
      </c>
      <c r="F675" t="s">
        <v>67</v>
      </c>
      <c r="G675" t="s">
        <v>68</v>
      </c>
      <c r="H675">
        <v>8</v>
      </c>
      <c r="I675">
        <v>85.97</v>
      </c>
      <c r="J675" t="s">
        <v>78</v>
      </c>
      <c r="K675" t="s">
        <v>70</v>
      </c>
      <c r="L675" t="s">
        <v>239</v>
      </c>
      <c r="M675" t="s">
        <v>72</v>
      </c>
      <c r="N675">
        <v>0.04</v>
      </c>
      <c r="O675">
        <v>4.0000000000000036E-2</v>
      </c>
      <c r="P675">
        <v>8</v>
      </c>
      <c r="Q675">
        <v>0</v>
      </c>
    </row>
    <row r="676" spans="1:17" x14ac:dyDescent="0.2">
      <c r="A676" t="s">
        <v>761</v>
      </c>
      <c r="B676" t="s">
        <v>762</v>
      </c>
      <c r="C676" t="s">
        <v>310</v>
      </c>
      <c r="D676" s="8">
        <v>12604377</v>
      </c>
      <c r="E676" t="s">
        <v>93</v>
      </c>
      <c r="F676" t="s">
        <v>67</v>
      </c>
      <c r="G676" t="s">
        <v>68</v>
      </c>
      <c r="H676">
        <v>5</v>
      </c>
      <c r="I676">
        <v>67.27</v>
      </c>
      <c r="J676" t="s">
        <v>78</v>
      </c>
      <c r="K676" t="s">
        <v>70</v>
      </c>
      <c r="L676" t="s">
        <v>239</v>
      </c>
      <c r="M676" t="s">
        <v>72</v>
      </c>
      <c r="N676">
        <v>0.03</v>
      </c>
      <c r="O676">
        <v>3.0000000000000027E-2</v>
      </c>
      <c r="P676">
        <v>5</v>
      </c>
      <c r="Q676">
        <v>0</v>
      </c>
    </row>
    <row r="677" spans="1:17" x14ac:dyDescent="0.2">
      <c r="A677" t="s">
        <v>761</v>
      </c>
      <c r="B677" t="s">
        <v>762</v>
      </c>
      <c r="C677" t="s">
        <v>310</v>
      </c>
      <c r="D677" s="8">
        <v>12575127</v>
      </c>
      <c r="E677" t="s">
        <v>13</v>
      </c>
      <c r="F677" t="s">
        <v>67</v>
      </c>
      <c r="G677" t="s">
        <v>68</v>
      </c>
      <c r="H677">
        <v>12</v>
      </c>
      <c r="I677">
        <v>103.97</v>
      </c>
      <c r="J677" t="s">
        <v>78</v>
      </c>
      <c r="K677" t="s">
        <v>70</v>
      </c>
      <c r="L677" t="s">
        <v>239</v>
      </c>
      <c r="M677" t="s">
        <v>72</v>
      </c>
      <c r="N677">
        <v>0.02</v>
      </c>
      <c r="O677">
        <v>2.0000000000000018E-2</v>
      </c>
      <c r="P677">
        <v>12</v>
      </c>
      <c r="Q677">
        <v>0</v>
      </c>
    </row>
    <row r="678" spans="1:17" x14ac:dyDescent="0.2">
      <c r="A678" t="s">
        <v>761</v>
      </c>
      <c r="B678" t="s">
        <v>762</v>
      </c>
      <c r="C678" t="s">
        <v>310</v>
      </c>
      <c r="D678" s="8">
        <v>12560070</v>
      </c>
      <c r="E678" t="s">
        <v>15</v>
      </c>
      <c r="F678" t="s">
        <v>67</v>
      </c>
      <c r="G678" t="s">
        <v>68</v>
      </c>
      <c r="H678">
        <v>8</v>
      </c>
      <c r="I678">
        <v>38.28</v>
      </c>
      <c r="J678" t="s">
        <v>78</v>
      </c>
      <c r="K678" t="s">
        <v>70</v>
      </c>
      <c r="L678" t="s">
        <v>239</v>
      </c>
      <c r="M678" t="s">
        <v>72</v>
      </c>
      <c r="N678">
        <v>0.01</v>
      </c>
      <c r="O678">
        <v>1.0000000000000009E-2</v>
      </c>
      <c r="P678">
        <v>8</v>
      </c>
      <c r="Q678">
        <v>0</v>
      </c>
    </row>
    <row r="679" spans="1:17" x14ac:dyDescent="0.2">
      <c r="A679" t="s">
        <v>763</v>
      </c>
      <c r="B679" t="s">
        <v>764</v>
      </c>
      <c r="C679" t="s">
        <v>765</v>
      </c>
      <c r="D679" s="8">
        <v>43564</v>
      </c>
      <c r="E679" t="s">
        <v>97</v>
      </c>
      <c r="F679" t="s">
        <v>67</v>
      </c>
      <c r="G679" t="s">
        <v>68</v>
      </c>
      <c r="H679">
        <v>2</v>
      </c>
      <c r="I679">
        <v>134.53</v>
      </c>
      <c r="J679" t="s">
        <v>78</v>
      </c>
      <c r="K679" t="s">
        <v>70</v>
      </c>
      <c r="L679" t="s">
        <v>239</v>
      </c>
      <c r="M679" t="s">
        <v>72</v>
      </c>
      <c r="N679">
        <v>2</v>
      </c>
      <c r="O679">
        <v>0</v>
      </c>
      <c r="P679">
        <v>0</v>
      </c>
      <c r="Q679">
        <v>2</v>
      </c>
    </row>
    <row r="680" spans="1:17" x14ac:dyDescent="0.2">
      <c r="A680" t="s">
        <v>763</v>
      </c>
      <c r="B680" t="s">
        <v>764</v>
      </c>
      <c r="C680" t="s">
        <v>765</v>
      </c>
      <c r="D680" s="8">
        <v>12613402</v>
      </c>
      <c r="E680" t="s">
        <v>73</v>
      </c>
      <c r="F680" t="s">
        <v>67</v>
      </c>
      <c r="G680" t="s">
        <v>68</v>
      </c>
      <c r="H680">
        <v>6</v>
      </c>
      <c r="I680">
        <v>18.32</v>
      </c>
      <c r="J680" t="s">
        <v>78</v>
      </c>
      <c r="K680" t="s">
        <v>70</v>
      </c>
      <c r="L680" t="s">
        <v>239</v>
      </c>
      <c r="M680" t="s">
        <v>72</v>
      </c>
      <c r="N680">
        <v>0.01</v>
      </c>
      <c r="O680">
        <v>1.0000000000000009E-2</v>
      </c>
      <c r="P680">
        <v>6</v>
      </c>
      <c r="Q680">
        <v>0</v>
      </c>
    </row>
    <row r="681" spans="1:17" x14ac:dyDescent="0.2">
      <c r="A681" t="s">
        <v>763</v>
      </c>
      <c r="B681" t="s">
        <v>764</v>
      </c>
      <c r="C681" t="s">
        <v>765</v>
      </c>
      <c r="D681" s="8">
        <v>12605969</v>
      </c>
      <c r="E681" t="s">
        <v>66</v>
      </c>
      <c r="F681" t="s">
        <v>67</v>
      </c>
      <c r="G681" t="s">
        <v>68</v>
      </c>
      <c r="H681">
        <v>2</v>
      </c>
      <c r="I681">
        <v>37.5</v>
      </c>
      <c r="J681" t="s">
        <v>78</v>
      </c>
      <c r="K681" t="s">
        <v>70</v>
      </c>
      <c r="L681" t="s">
        <v>239</v>
      </c>
      <c r="M681" t="s">
        <v>72</v>
      </c>
      <c r="N681">
        <v>0.01</v>
      </c>
      <c r="O681">
        <v>1.0000000000000009E-2</v>
      </c>
      <c r="P681">
        <v>2</v>
      </c>
      <c r="Q681">
        <v>0</v>
      </c>
    </row>
    <row r="682" spans="1:17" x14ac:dyDescent="0.2">
      <c r="A682" t="s">
        <v>763</v>
      </c>
      <c r="B682" t="s">
        <v>764</v>
      </c>
      <c r="C682" t="s">
        <v>765</v>
      </c>
      <c r="D682" s="8">
        <v>12436421</v>
      </c>
      <c r="E682" t="s">
        <v>6</v>
      </c>
      <c r="F682" t="s">
        <v>67</v>
      </c>
      <c r="G682" t="s">
        <v>68</v>
      </c>
      <c r="H682">
        <v>8</v>
      </c>
      <c r="I682">
        <v>85.97</v>
      </c>
      <c r="J682" t="s">
        <v>78</v>
      </c>
      <c r="K682" t="s">
        <v>70</v>
      </c>
      <c r="L682" t="s">
        <v>239</v>
      </c>
      <c r="M682" t="s">
        <v>72</v>
      </c>
      <c r="N682">
        <v>0.04</v>
      </c>
      <c r="O682">
        <v>4.0000000000000036E-2</v>
      </c>
      <c r="P682">
        <v>8</v>
      </c>
      <c r="Q682">
        <v>0</v>
      </c>
    </row>
    <row r="683" spans="1:17" x14ac:dyDescent="0.2">
      <c r="A683" t="s">
        <v>763</v>
      </c>
      <c r="B683" t="s">
        <v>764</v>
      </c>
      <c r="C683" t="s">
        <v>765</v>
      </c>
      <c r="D683" s="8">
        <v>12604377</v>
      </c>
      <c r="E683" t="s">
        <v>93</v>
      </c>
      <c r="F683" t="s">
        <v>67</v>
      </c>
      <c r="G683" t="s">
        <v>68</v>
      </c>
      <c r="H683">
        <v>5</v>
      </c>
      <c r="I683">
        <v>67.27</v>
      </c>
      <c r="J683" t="s">
        <v>78</v>
      </c>
      <c r="K683" t="s">
        <v>70</v>
      </c>
      <c r="L683" t="s">
        <v>239</v>
      </c>
      <c r="M683" t="s">
        <v>72</v>
      </c>
      <c r="N683">
        <v>0.03</v>
      </c>
      <c r="O683">
        <v>3.0000000000000027E-2</v>
      </c>
      <c r="P683">
        <v>5</v>
      </c>
      <c r="Q683">
        <v>0</v>
      </c>
    </row>
    <row r="684" spans="1:17" x14ac:dyDescent="0.2">
      <c r="A684" t="s">
        <v>763</v>
      </c>
      <c r="B684" t="s">
        <v>764</v>
      </c>
      <c r="C684" t="s">
        <v>765</v>
      </c>
      <c r="D684" s="8">
        <v>12575127</v>
      </c>
      <c r="E684" t="s">
        <v>13</v>
      </c>
      <c r="F684" t="s">
        <v>67</v>
      </c>
      <c r="G684" t="s">
        <v>68</v>
      </c>
      <c r="H684">
        <v>12</v>
      </c>
      <c r="I684">
        <v>103.97</v>
      </c>
      <c r="J684" t="s">
        <v>78</v>
      </c>
      <c r="K684" t="s">
        <v>70</v>
      </c>
      <c r="L684" t="s">
        <v>239</v>
      </c>
      <c r="M684" t="s">
        <v>72</v>
      </c>
      <c r="N684">
        <v>0.02</v>
      </c>
      <c r="O684">
        <v>2.0000000000000018E-2</v>
      </c>
      <c r="P684">
        <v>12</v>
      </c>
      <c r="Q684">
        <v>0</v>
      </c>
    </row>
    <row r="685" spans="1:17" x14ac:dyDescent="0.2">
      <c r="A685" t="s">
        <v>763</v>
      </c>
      <c r="B685" t="s">
        <v>764</v>
      </c>
      <c r="C685" t="s">
        <v>765</v>
      </c>
      <c r="D685" s="8">
        <v>12560070</v>
      </c>
      <c r="E685" t="s">
        <v>15</v>
      </c>
      <c r="F685" t="s">
        <v>67</v>
      </c>
      <c r="G685" t="s">
        <v>68</v>
      </c>
      <c r="H685">
        <v>8</v>
      </c>
      <c r="I685">
        <v>38.28</v>
      </c>
      <c r="J685" t="s">
        <v>78</v>
      </c>
      <c r="K685" t="s">
        <v>70</v>
      </c>
      <c r="L685" t="s">
        <v>239</v>
      </c>
      <c r="M685" t="s">
        <v>72</v>
      </c>
      <c r="N685">
        <v>0.01</v>
      </c>
      <c r="O685">
        <v>1.0000000000000009E-2</v>
      </c>
      <c r="P685">
        <v>8</v>
      </c>
      <c r="Q685">
        <v>0</v>
      </c>
    </row>
    <row r="686" spans="1:17" x14ac:dyDescent="0.2">
      <c r="A686" t="s">
        <v>766</v>
      </c>
      <c r="B686" t="s">
        <v>767</v>
      </c>
      <c r="C686" t="s">
        <v>768</v>
      </c>
      <c r="D686" s="8">
        <v>12613402</v>
      </c>
      <c r="E686" t="s">
        <v>73</v>
      </c>
      <c r="F686" t="s">
        <v>67</v>
      </c>
      <c r="G686" t="s">
        <v>68</v>
      </c>
      <c r="H686">
        <v>6</v>
      </c>
      <c r="I686">
        <v>18.32</v>
      </c>
      <c r="J686" t="s">
        <v>78</v>
      </c>
      <c r="K686" t="s">
        <v>70</v>
      </c>
      <c r="L686" t="s">
        <v>239</v>
      </c>
      <c r="M686" t="s">
        <v>72</v>
      </c>
      <c r="N686">
        <v>0.01</v>
      </c>
      <c r="O686">
        <v>1.0000000000000009E-2</v>
      </c>
      <c r="P686">
        <v>6</v>
      </c>
      <c r="Q686">
        <v>0</v>
      </c>
    </row>
    <row r="687" spans="1:17" x14ac:dyDescent="0.2">
      <c r="A687" t="s">
        <v>766</v>
      </c>
      <c r="B687" t="s">
        <v>767</v>
      </c>
      <c r="C687" t="s">
        <v>768</v>
      </c>
      <c r="D687" s="8">
        <v>12605969</v>
      </c>
      <c r="E687" t="s">
        <v>66</v>
      </c>
      <c r="F687" t="s">
        <v>67</v>
      </c>
      <c r="G687" t="s">
        <v>68</v>
      </c>
      <c r="H687">
        <v>2</v>
      </c>
      <c r="I687">
        <v>37.5</v>
      </c>
      <c r="J687" t="s">
        <v>78</v>
      </c>
      <c r="K687" t="s">
        <v>70</v>
      </c>
      <c r="L687" t="s">
        <v>239</v>
      </c>
      <c r="M687" t="s">
        <v>72</v>
      </c>
      <c r="N687">
        <v>0.01</v>
      </c>
      <c r="O687">
        <v>1.0000000000000009E-2</v>
      </c>
      <c r="P687">
        <v>2</v>
      </c>
      <c r="Q687">
        <v>0</v>
      </c>
    </row>
    <row r="688" spans="1:17" x14ac:dyDescent="0.2">
      <c r="A688" t="s">
        <v>766</v>
      </c>
      <c r="B688" t="s">
        <v>767</v>
      </c>
      <c r="C688" t="s">
        <v>768</v>
      </c>
      <c r="D688" s="8">
        <v>14037789</v>
      </c>
      <c r="E688" t="s">
        <v>713</v>
      </c>
      <c r="F688" t="s">
        <v>67</v>
      </c>
      <c r="G688" t="s">
        <v>68</v>
      </c>
      <c r="H688">
        <v>5</v>
      </c>
      <c r="I688">
        <v>672.67</v>
      </c>
      <c r="J688" t="s">
        <v>78</v>
      </c>
      <c r="K688" t="s">
        <v>70</v>
      </c>
      <c r="L688" t="s">
        <v>239</v>
      </c>
      <c r="M688" t="s">
        <v>72</v>
      </c>
      <c r="N688">
        <v>0.31</v>
      </c>
      <c r="O688">
        <v>0.31000000000000005</v>
      </c>
      <c r="P688">
        <v>5</v>
      </c>
      <c r="Q688">
        <v>0</v>
      </c>
    </row>
    <row r="689" spans="1:17" x14ac:dyDescent="0.2">
      <c r="A689" t="s">
        <v>766</v>
      </c>
      <c r="B689" t="s">
        <v>767</v>
      </c>
      <c r="C689" t="s">
        <v>768</v>
      </c>
      <c r="D689" s="8">
        <v>12436421</v>
      </c>
      <c r="E689" t="s">
        <v>6</v>
      </c>
      <c r="F689" t="s">
        <v>67</v>
      </c>
      <c r="G689" t="s">
        <v>68</v>
      </c>
      <c r="H689">
        <v>8</v>
      </c>
      <c r="I689">
        <v>85.97</v>
      </c>
      <c r="J689" t="s">
        <v>78</v>
      </c>
      <c r="K689" t="s">
        <v>70</v>
      </c>
      <c r="L689" t="s">
        <v>239</v>
      </c>
      <c r="M689" t="s">
        <v>72</v>
      </c>
      <c r="N689">
        <v>0.04</v>
      </c>
      <c r="O689">
        <v>4.0000000000000036E-2</v>
      </c>
      <c r="P689">
        <v>8</v>
      </c>
      <c r="Q689">
        <v>0</v>
      </c>
    </row>
    <row r="690" spans="1:17" x14ac:dyDescent="0.2">
      <c r="A690" t="s">
        <v>766</v>
      </c>
      <c r="B690" t="s">
        <v>767</v>
      </c>
      <c r="C690" t="s">
        <v>768</v>
      </c>
      <c r="D690" s="8">
        <v>12604377</v>
      </c>
      <c r="E690" t="s">
        <v>93</v>
      </c>
      <c r="F690" t="s">
        <v>67</v>
      </c>
      <c r="G690" t="s">
        <v>68</v>
      </c>
      <c r="H690">
        <v>5</v>
      </c>
      <c r="I690">
        <v>67.27</v>
      </c>
      <c r="J690" t="s">
        <v>78</v>
      </c>
      <c r="K690" t="s">
        <v>70</v>
      </c>
      <c r="L690" t="s">
        <v>239</v>
      </c>
      <c r="M690" t="s">
        <v>72</v>
      </c>
      <c r="N690">
        <v>0.03</v>
      </c>
      <c r="O690">
        <v>3.0000000000000027E-2</v>
      </c>
      <c r="P690">
        <v>5</v>
      </c>
      <c r="Q690">
        <v>0</v>
      </c>
    </row>
    <row r="691" spans="1:17" x14ac:dyDescent="0.2">
      <c r="A691" t="s">
        <v>766</v>
      </c>
      <c r="B691" t="s">
        <v>767</v>
      </c>
      <c r="C691" t="s">
        <v>768</v>
      </c>
      <c r="D691" s="8">
        <v>12560070</v>
      </c>
      <c r="E691" t="s">
        <v>15</v>
      </c>
      <c r="F691" t="s">
        <v>67</v>
      </c>
      <c r="G691" t="s">
        <v>68</v>
      </c>
      <c r="H691">
        <v>8</v>
      </c>
      <c r="I691">
        <v>38.28</v>
      </c>
      <c r="J691" t="s">
        <v>78</v>
      </c>
      <c r="K691" t="s">
        <v>70</v>
      </c>
      <c r="L691" t="s">
        <v>239</v>
      </c>
      <c r="M691" t="s">
        <v>72</v>
      </c>
      <c r="N691">
        <v>0.01</v>
      </c>
      <c r="O691">
        <v>1.0000000000000009E-2</v>
      </c>
      <c r="P691">
        <v>8</v>
      </c>
      <c r="Q691">
        <v>0</v>
      </c>
    </row>
    <row r="692" spans="1:17" x14ac:dyDescent="0.2">
      <c r="A692" t="s">
        <v>769</v>
      </c>
      <c r="B692" t="s">
        <v>770</v>
      </c>
      <c r="C692" t="s">
        <v>771</v>
      </c>
      <c r="D692" s="8">
        <v>43564</v>
      </c>
      <c r="E692" t="s">
        <v>97</v>
      </c>
      <c r="F692" t="s">
        <v>67</v>
      </c>
      <c r="G692" t="s">
        <v>68</v>
      </c>
      <c r="H692">
        <v>2</v>
      </c>
      <c r="I692">
        <v>134.53</v>
      </c>
      <c r="J692" t="s">
        <v>78</v>
      </c>
      <c r="K692" t="s">
        <v>70</v>
      </c>
      <c r="L692" t="s">
        <v>239</v>
      </c>
      <c r="M692" t="s">
        <v>72</v>
      </c>
      <c r="N692">
        <v>2</v>
      </c>
      <c r="O692">
        <v>0</v>
      </c>
      <c r="P692">
        <v>0</v>
      </c>
      <c r="Q692">
        <v>2</v>
      </c>
    </row>
    <row r="693" spans="1:17" x14ac:dyDescent="0.2">
      <c r="A693" t="s">
        <v>769</v>
      </c>
      <c r="B693" t="s">
        <v>770</v>
      </c>
      <c r="C693" t="s">
        <v>771</v>
      </c>
      <c r="D693" s="8">
        <v>12613402</v>
      </c>
      <c r="E693" t="s">
        <v>73</v>
      </c>
      <c r="F693" t="s">
        <v>67</v>
      </c>
      <c r="G693" t="s">
        <v>68</v>
      </c>
      <c r="H693">
        <v>6</v>
      </c>
      <c r="I693">
        <v>18.32</v>
      </c>
      <c r="J693" t="s">
        <v>78</v>
      </c>
      <c r="K693" t="s">
        <v>70</v>
      </c>
      <c r="L693" t="s">
        <v>239</v>
      </c>
      <c r="M693" t="s">
        <v>72</v>
      </c>
      <c r="N693">
        <v>0.01</v>
      </c>
      <c r="O693">
        <v>1.0000000000000009E-2</v>
      </c>
      <c r="P693">
        <v>6</v>
      </c>
      <c r="Q693">
        <v>0</v>
      </c>
    </row>
    <row r="694" spans="1:17" x14ac:dyDescent="0.2">
      <c r="A694" t="s">
        <v>769</v>
      </c>
      <c r="B694" t="s">
        <v>770</v>
      </c>
      <c r="C694" t="s">
        <v>771</v>
      </c>
      <c r="D694" s="8">
        <v>12605969</v>
      </c>
      <c r="E694" t="s">
        <v>66</v>
      </c>
      <c r="F694" t="s">
        <v>67</v>
      </c>
      <c r="G694" t="s">
        <v>68</v>
      </c>
      <c r="H694">
        <v>2</v>
      </c>
      <c r="I694">
        <v>37.5</v>
      </c>
      <c r="J694" t="s">
        <v>78</v>
      </c>
      <c r="K694" t="s">
        <v>70</v>
      </c>
      <c r="L694" t="s">
        <v>239</v>
      </c>
      <c r="M694" t="s">
        <v>72</v>
      </c>
      <c r="N694">
        <v>0.01</v>
      </c>
      <c r="O694">
        <v>1.0000000000000009E-2</v>
      </c>
      <c r="P694">
        <v>2</v>
      </c>
      <c r="Q694">
        <v>0</v>
      </c>
    </row>
    <row r="695" spans="1:17" x14ac:dyDescent="0.2">
      <c r="A695" t="s">
        <v>769</v>
      </c>
      <c r="B695" t="s">
        <v>770</v>
      </c>
      <c r="C695" t="s">
        <v>771</v>
      </c>
      <c r="D695" s="8">
        <v>12436421</v>
      </c>
      <c r="E695" t="s">
        <v>6</v>
      </c>
      <c r="F695" t="s">
        <v>67</v>
      </c>
      <c r="G695" t="s">
        <v>68</v>
      </c>
      <c r="H695">
        <v>8</v>
      </c>
      <c r="I695">
        <v>85.97</v>
      </c>
      <c r="J695" t="s">
        <v>78</v>
      </c>
      <c r="K695" t="s">
        <v>70</v>
      </c>
      <c r="L695" t="s">
        <v>239</v>
      </c>
      <c r="M695" t="s">
        <v>72</v>
      </c>
      <c r="N695">
        <v>0.04</v>
      </c>
      <c r="O695">
        <v>4.0000000000000036E-2</v>
      </c>
      <c r="P695">
        <v>8</v>
      </c>
      <c r="Q695">
        <v>0</v>
      </c>
    </row>
    <row r="696" spans="1:17" x14ac:dyDescent="0.2">
      <c r="A696" t="s">
        <v>769</v>
      </c>
      <c r="B696" t="s">
        <v>770</v>
      </c>
      <c r="C696" t="s">
        <v>771</v>
      </c>
      <c r="D696" s="8">
        <v>12604377</v>
      </c>
      <c r="E696" t="s">
        <v>93</v>
      </c>
      <c r="F696" t="s">
        <v>67</v>
      </c>
      <c r="G696" t="s">
        <v>68</v>
      </c>
      <c r="H696">
        <v>5</v>
      </c>
      <c r="I696">
        <v>67.27</v>
      </c>
      <c r="J696" t="s">
        <v>78</v>
      </c>
      <c r="K696" t="s">
        <v>70</v>
      </c>
      <c r="L696" t="s">
        <v>239</v>
      </c>
      <c r="M696" t="s">
        <v>72</v>
      </c>
      <c r="N696">
        <v>0.03</v>
      </c>
      <c r="O696">
        <v>3.0000000000000027E-2</v>
      </c>
      <c r="P696">
        <v>5</v>
      </c>
      <c r="Q696">
        <v>0</v>
      </c>
    </row>
    <row r="697" spans="1:17" x14ac:dyDescent="0.2">
      <c r="A697" t="s">
        <v>769</v>
      </c>
      <c r="B697" t="s">
        <v>770</v>
      </c>
      <c r="C697" t="s">
        <v>771</v>
      </c>
      <c r="D697" s="8">
        <v>12575127</v>
      </c>
      <c r="E697" t="s">
        <v>13</v>
      </c>
      <c r="F697" t="s">
        <v>67</v>
      </c>
      <c r="G697" t="s">
        <v>68</v>
      </c>
      <c r="H697">
        <v>12</v>
      </c>
      <c r="I697">
        <v>103.97</v>
      </c>
      <c r="J697" t="s">
        <v>78</v>
      </c>
      <c r="K697" t="s">
        <v>70</v>
      </c>
      <c r="L697" t="s">
        <v>239</v>
      </c>
      <c r="M697" t="s">
        <v>72</v>
      </c>
      <c r="N697">
        <v>0.02</v>
      </c>
      <c r="O697">
        <v>2.0000000000000018E-2</v>
      </c>
      <c r="P697">
        <v>12</v>
      </c>
      <c r="Q697">
        <v>0</v>
      </c>
    </row>
    <row r="698" spans="1:17" x14ac:dyDescent="0.2">
      <c r="A698" t="s">
        <v>769</v>
      </c>
      <c r="B698" t="s">
        <v>770</v>
      </c>
      <c r="C698" t="s">
        <v>771</v>
      </c>
      <c r="D698" s="8">
        <v>12560070</v>
      </c>
      <c r="E698" t="s">
        <v>15</v>
      </c>
      <c r="F698" t="s">
        <v>67</v>
      </c>
      <c r="G698" t="s">
        <v>68</v>
      </c>
      <c r="H698">
        <v>8</v>
      </c>
      <c r="I698">
        <v>38.28</v>
      </c>
      <c r="J698" t="s">
        <v>78</v>
      </c>
      <c r="K698" t="s">
        <v>70</v>
      </c>
      <c r="L698" t="s">
        <v>239</v>
      </c>
      <c r="M698" t="s">
        <v>72</v>
      </c>
      <c r="N698">
        <v>0.01</v>
      </c>
      <c r="O698">
        <v>1.0000000000000009E-2</v>
      </c>
      <c r="P698">
        <v>8</v>
      </c>
      <c r="Q698">
        <v>0</v>
      </c>
    </row>
    <row r="699" spans="1:17" x14ac:dyDescent="0.2">
      <c r="A699" t="s">
        <v>772</v>
      </c>
      <c r="B699" t="s">
        <v>773</v>
      </c>
      <c r="C699" t="s">
        <v>774</v>
      </c>
      <c r="D699" s="8">
        <v>43564</v>
      </c>
      <c r="E699" t="s">
        <v>97</v>
      </c>
      <c r="F699" t="s">
        <v>67</v>
      </c>
      <c r="G699" t="s">
        <v>68</v>
      </c>
      <c r="H699">
        <v>2</v>
      </c>
      <c r="I699">
        <v>134.53</v>
      </c>
      <c r="J699" t="s">
        <v>78</v>
      </c>
      <c r="K699" t="s">
        <v>70</v>
      </c>
      <c r="L699" t="s">
        <v>239</v>
      </c>
      <c r="M699" t="s">
        <v>72</v>
      </c>
      <c r="N699">
        <v>2</v>
      </c>
      <c r="O699">
        <v>0</v>
      </c>
      <c r="P699">
        <v>0</v>
      </c>
      <c r="Q699">
        <v>2</v>
      </c>
    </row>
    <row r="700" spans="1:17" x14ac:dyDescent="0.2">
      <c r="A700" t="s">
        <v>772</v>
      </c>
      <c r="B700" t="s">
        <v>773</v>
      </c>
      <c r="C700" t="s">
        <v>774</v>
      </c>
      <c r="D700" s="8">
        <v>12613402</v>
      </c>
      <c r="E700" t="s">
        <v>73</v>
      </c>
      <c r="F700" t="s">
        <v>67</v>
      </c>
      <c r="G700" t="s">
        <v>68</v>
      </c>
      <c r="H700">
        <v>6</v>
      </c>
      <c r="I700">
        <v>18.32</v>
      </c>
      <c r="J700" t="s">
        <v>78</v>
      </c>
      <c r="K700" t="s">
        <v>70</v>
      </c>
      <c r="L700" t="s">
        <v>239</v>
      </c>
      <c r="M700" t="s">
        <v>72</v>
      </c>
      <c r="N700">
        <v>0.01</v>
      </c>
      <c r="O700">
        <v>1.0000000000000009E-2</v>
      </c>
      <c r="P700">
        <v>6</v>
      </c>
      <c r="Q700">
        <v>0</v>
      </c>
    </row>
    <row r="701" spans="1:17" x14ac:dyDescent="0.2">
      <c r="A701" t="s">
        <v>772</v>
      </c>
      <c r="B701" t="s">
        <v>773</v>
      </c>
      <c r="C701" t="s">
        <v>774</v>
      </c>
      <c r="D701" s="8">
        <v>12605969</v>
      </c>
      <c r="E701" t="s">
        <v>66</v>
      </c>
      <c r="F701" t="s">
        <v>67</v>
      </c>
      <c r="G701" t="s">
        <v>68</v>
      </c>
      <c r="H701">
        <v>2</v>
      </c>
      <c r="I701">
        <v>37.5</v>
      </c>
      <c r="J701" t="s">
        <v>78</v>
      </c>
      <c r="K701" t="s">
        <v>70</v>
      </c>
      <c r="L701" t="s">
        <v>239</v>
      </c>
      <c r="M701" t="s">
        <v>72</v>
      </c>
      <c r="N701">
        <v>0.01</v>
      </c>
      <c r="O701">
        <v>1.0000000000000009E-2</v>
      </c>
      <c r="P701">
        <v>2</v>
      </c>
      <c r="Q701">
        <v>0</v>
      </c>
    </row>
    <row r="702" spans="1:17" x14ac:dyDescent="0.2">
      <c r="A702" t="s">
        <v>772</v>
      </c>
      <c r="B702" t="s">
        <v>773</v>
      </c>
      <c r="C702" t="s">
        <v>774</v>
      </c>
      <c r="D702" s="8">
        <v>12436421</v>
      </c>
      <c r="E702" t="s">
        <v>6</v>
      </c>
      <c r="F702" t="s">
        <v>67</v>
      </c>
      <c r="G702" t="s">
        <v>68</v>
      </c>
      <c r="H702">
        <v>8</v>
      </c>
      <c r="I702">
        <v>85.97</v>
      </c>
      <c r="J702" t="s">
        <v>78</v>
      </c>
      <c r="K702" t="s">
        <v>70</v>
      </c>
      <c r="L702" t="s">
        <v>239</v>
      </c>
      <c r="M702" t="s">
        <v>72</v>
      </c>
      <c r="N702">
        <v>0.04</v>
      </c>
      <c r="O702">
        <v>4.0000000000000036E-2</v>
      </c>
      <c r="P702">
        <v>8</v>
      </c>
      <c r="Q702">
        <v>0</v>
      </c>
    </row>
    <row r="703" spans="1:17" x14ac:dyDescent="0.2">
      <c r="A703" t="s">
        <v>772</v>
      </c>
      <c r="B703" t="s">
        <v>773</v>
      </c>
      <c r="C703" t="s">
        <v>774</v>
      </c>
      <c r="D703" s="8">
        <v>12604377</v>
      </c>
      <c r="E703" t="s">
        <v>93</v>
      </c>
      <c r="F703" t="s">
        <v>67</v>
      </c>
      <c r="G703" t="s">
        <v>68</v>
      </c>
      <c r="H703">
        <v>5</v>
      </c>
      <c r="I703">
        <v>67.27</v>
      </c>
      <c r="J703" t="s">
        <v>78</v>
      </c>
      <c r="K703" t="s">
        <v>70</v>
      </c>
      <c r="L703" t="s">
        <v>239</v>
      </c>
      <c r="M703" t="s">
        <v>72</v>
      </c>
      <c r="N703">
        <v>0.03</v>
      </c>
      <c r="O703">
        <v>3.0000000000000027E-2</v>
      </c>
      <c r="P703">
        <v>5</v>
      </c>
      <c r="Q703">
        <v>0</v>
      </c>
    </row>
    <row r="704" spans="1:17" x14ac:dyDescent="0.2">
      <c r="A704" t="s">
        <v>772</v>
      </c>
      <c r="B704" t="s">
        <v>773</v>
      </c>
      <c r="C704" t="s">
        <v>774</v>
      </c>
      <c r="D704" s="8">
        <v>12575127</v>
      </c>
      <c r="E704" t="s">
        <v>13</v>
      </c>
      <c r="F704" t="s">
        <v>67</v>
      </c>
      <c r="G704" t="s">
        <v>68</v>
      </c>
      <c r="H704">
        <v>12</v>
      </c>
      <c r="I704">
        <v>103.97</v>
      </c>
      <c r="J704" t="s">
        <v>78</v>
      </c>
      <c r="K704" t="s">
        <v>70</v>
      </c>
      <c r="L704" t="s">
        <v>239</v>
      </c>
      <c r="M704" t="s">
        <v>72</v>
      </c>
      <c r="N704">
        <v>0.02</v>
      </c>
      <c r="O704">
        <v>2.0000000000000018E-2</v>
      </c>
      <c r="P704">
        <v>12</v>
      </c>
      <c r="Q704">
        <v>0</v>
      </c>
    </row>
    <row r="705" spans="1:17" x14ac:dyDescent="0.2">
      <c r="A705" t="s">
        <v>772</v>
      </c>
      <c r="B705" t="s">
        <v>773</v>
      </c>
      <c r="C705" t="s">
        <v>774</v>
      </c>
      <c r="D705" s="8">
        <v>12560070</v>
      </c>
      <c r="E705" t="s">
        <v>15</v>
      </c>
      <c r="F705" t="s">
        <v>67</v>
      </c>
      <c r="G705" t="s">
        <v>68</v>
      </c>
      <c r="H705">
        <v>8</v>
      </c>
      <c r="I705">
        <v>38.28</v>
      </c>
      <c r="J705" t="s">
        <v>78</v>
      </c>
      <c r="K705" t="s">
        <v>70</v>
      </c>
      <c r="L705" t="s">
        <v>239</v>
      </c>
      <c r="M705" t="s">
        <v>72</v>
      </c>
      <c r="N705">
        <v>0.01</v>
      </c>
      <c r="O705">
        <v>1.0000000000000009E-2</v>
      </c>
      <c r="P705">
        <v>8</v>
      </c>
      <c r="Q705">
        <v>0</v>
      </c>
    </row>
    <row r="706" spans="1:17" x14ac:dyDescent="0.2">
      <c r="A706" t="s">
        <v>775</v>
      </c>
      <c r="B706" t="s">
        <v>776</v>
      </c>
      <c r="C706" t="s">
        <v>777</v>
      </c>
      <c r="D706" s="8">
        <v>43564</v>
      </c>
      <c r="E706" t="s">
        <v>97</v>
      </c>
      <c r="F706" t="s">
        <v>67</v>
      </c>
      <c r="G706" t="s">
        <v>68</v>
      </c>
      <c r="H706">
        <v>2</v>
      </c>
      <c r="I706">
        <v>134.53</v>
      </c>
      <c r="J706" t="s">
        <v>78</v>
      </c>
      <c r="K706" t="s">
        <v>70</v>
      </c>
      <c r="L706" t="s">
        <v>239</v>
      </c>
      <c r="M706" t="s">
        <v>72</v>
      </c>
      <c r="N706">
        <v>2</v>
      </c>
      <c r="O706">
        <v>0</v>
      </c>
      <c r="P706">
        <v>0</v>
      </c>
      <c r="Q706">
        <v>2</v>
      </c>
    </row>
    <row r="707" spans="1:17" x14ac:dyDescent="0.2">
      <c r="A707" t="s">
        <v>775</v>
      </c>
      <c r="B707" t="s">
        <v>776</v>
      </c>
      <c r="C707" t="s">
        <v>777</v>
      </c>
      <c r="D707" s="8">
        <v>12613402</v>
      </c>
      <c r="E707" t="s">
        <v>73</v>
      </c>
      <c r="F707" t="s">
        <v>67</v>
      </c>
      <c r="G707" t="s">
        <v>68</v>
      </c>
      <c r="H707">
        <v>48</v>
      </c>
      <c r="I707">
        <v>146.63</v>
      </c>
      <c r="J707" t="s">
        <v>78</v>
      </c>
      <c r="K707" t="s">
        <v>70</v>
      </c>
      <c r="L707" t="s">
        <v>239</v>
      </c>
      <c r="M707" t="s">
        <v>72</v>
      </c>
      <c r="N707">
        <v>0.05</v>
      </c>
      <c r="O707">
        <v>5.0000000000000044E-2</v>
      </c>
      <c r="P707">
        <v>48</v>
      </c>
      <c r="Q707">
        <v>0</v>
      </c>
    </row>
    <row r="708" spans="1:17" x14ac:dyDescent="0.2">
      <c r="A708" t="s">
        <v>775</v>
      </c>
      <c r="B708" t="s">
        <v>776</v>
      </c>
      <c r="C708" t="s">
        <v>777</v>
      </c>
      <c r="D708" s="8">
        <v>12605969</v>
      </c>
      <c r="E708" t="s">
        <v>66</v>
      </c>
      <c r="F708" t="s">
        <v>67</v>
      </c>
      <c r="G708" t="s">
        <v>68</v>
      </c>
      <c r="H708">
        <v>2</v>
      </c>
      <c r="I708">
        <v>37.5</v>
      </c>
      <c r="J708" t="s">
        <v>78</v>
      </c>
      <c r="K708" t="s">
        <v>70</v>
      </c>
      <c r="L708" t="s">
        <v>239</v>
      </c>
      <c r="M708" t="s">
        <v>72</v>
      </c>
      <c r="N708">
        <v>0.01</v>
      </c>
      <c r="O708">
        <v>1.0000000000000009E-2</v>
      </c>
      <c r="P708">
        <v>2</v>
      </c>
      <c r="Q708">
        <v>0</v>
      </c>
    </row>
    <row r="709" spans="1:17" x14ac:dyDescent="0.2">
      <c r="A709" t="s">
        <v>775</v>
      </c>
      <c r="B709" t="s">
        <v>776</v>
      </c>
      <c r="C709" t="s">
        <v>777</v>
      </c>
      <c r="D709" s="8">
        <v>12436421</v>
      </c>
      <c r="E709" t="s">
        <v>6</v>
      </c>
      <c r="F709" t="s">
        <v>67</v>
      </c>
      <c r="G709" t="s">
        <v>68</v>
      </c>
      <c r="H709">
        <v>8</v>
      </c>
      <c r="I709">
        <v>85.97</v>
      </c>
      <c r="J709" t="s">
        <v>78</v>
      </c>
      <c r="K709" t="s">
        <v>70</v>
      </c>
      <c r="L709" t="s">
        <v>239</v>
      </c>
      <c r="M709" t="s">
        <v>72</v>
      </c>
      <c r="N709">
        <v>0.04</v>
      </c>
      <c r="O709">
        <v>4.0000000000000036E-2</v>
      </c>
      <c r="P709">
        <v>8</v>
      </c>
      <c r="Q709">
        <v>0</v>
      </c>
    </row>
    <row r="710" spans="1:17" x14ac:dyDescent="0.2">
      <c r="A710" t="s">
        <v>775</v>
      </c>
      <c r="B710" t="s">
        <v>776</v>
      </c>
      <c r="C710" t="s">
        <v>777</v>
      </c>
      <c r="D710" s="8">
        <v>12575127</v>
      </c>
      <c r="E710" t="s">
        <v>13</v>
      </c>
      <c r="F710" t="s">
        <v>67</v>
      </c>
      <c r="G710" t="s">
        <v>68</v>
      </c>
      <c r="H710">
        <v>12</v>
      </c>
      <c r="I710">
        <v>103.97</v>
      </c>
      <c r="J710" t="s">
        <v>78</v>
      </c>
      <c r="K710" t="s">
        <v>70</v>
      </c>
      <c r="L710" t="s">
        <v>239</v>
      </c>
      <c r="M710" t="s">
        <v>72</v>
      </c>
      <c r="N710">
        <v>0.02</v>
      </c>
      <c r="O710">
        <v>2.0000000000000018E-2</v>
      </c>
      <c r="P710">
        <v>12</v>
      </c>
      <c r="Q710">
        <v>0</v>
      </c>
    </row>
    <row r="711" spans="1:17" x14ac:dyDescent="0.2">
      <c r="A711" t="s">
        <v>775</v>
      </c>
      <c r="B711" t="s">
        <v>776</v>
      </c>
      <c r="C711" t="s">
        <v>777</v>
      </c>
      <c r="D711" s="8">
        <v>12560070</v>
      </c>
      <c r="E711" t="s">
        <v>15</v>
      </c>
      <c r="F711" t="s">
        <v>67</v>
      </c>
      <c r="G711" t="s">
        <v>68</v>
      </c>
      <c r="H711">
        <v>8</v>
      </c>
      <c r="I711">
        <v>38.28</v>
      </c>
      <c r="J711" t="s">
        <v>78</v>
      </c>
      <c r="K711" t="s">
        <v>70</v>
      </c>
      <c r="L711" t="s">
        <v>239</v>
      </c>
      <c r="M711" t="s">
        <v>72</v>
      </c>
      <c r="N711">
        <v>0.01</v>
      </c>
      <c r="O711">
        <v>1.0000000000000009E-2</v>
      </c>
      <c r="P711">
        <v>8</v>
      </c>
      <c r="Q711">
        <v>0</v>
      </c>
    </row>
    <row r="712" spans="1:17" x14ac:dyDescent="0.2">
      <c r="A712" t="s">
        <v>778</v>
      </c>
      <c r="B712" t="s">
        <v>779</v>
      </c>
      <c r="C712" t="s">
        <v>194</v>
      </c>
      <c r="D712" s="8">
        <v>31711</v>
      </c>
      <c r="E712" t="s">
        <v>780</v>
      </c>
      <c r="F712" t="s">
        <v>67</v>
      </c>
      <c r="G712" t="s">
        <v>68</v>
      </c>
      <c r="H712">
        <v>5</v>
      </c>
      <c r="I712">
        <v>765.58</v>
      </c>
      <c r="J712" t="s">
        <v>78</v>
      </c>
      <c r="K712" t="s">
        <v>70</v>
      </c>
      <c r="L712" t="s">
        <v>239</v>
      </c>
      <c r="M712" t="s">
        <v>72</v>
      </c>
      <c r="N712">
        <v>5</v>
      </c>
      <c r="O712">
        <v>0</v>
      </c>
      <c r="P712">
        <v>0</v>
      </c>
      <c r="Q712">
        <v>5</v>
      </c>
    </row>
    <row r="713" spans="1:17" x14ac:dyDescent="0.2">
      <c r="A713" t="s">
        <v>778</v>
      </c>
      <c r="B713" t="s">
        <v>779</v>
      </c>
      <c r="C713" t="s">
        <v>194</v>
      </c>
      <c r="D713" s="8">
        <v>12613402</v>
      </c>
      <c r="E713" t="s">
        <v>73</v>
      </c>
      <c r="F713" t="s">
        <v>67</v>
      </c>
      <c r="G713" t="s">
        <v>68</v>
      </c>
      <c r="H713">
        <v>240</v>
      </c>
      <c r="I713">
        <v>733.15</v>
      </c>
      <c r="J713" t="s">
        <v>78</v>
      </c>
      <c r="K713" t="s">
        <v>70</v>
      </c>
      <c r="L713" t="s">
        <v>239</v>
      </c>
      <c r="M713" t="s">
        <v>72</v>
      </c>
      <c r="N713">
        <v>0.24</v>
      </c>
      <c r="O713">
        <v>0.24</v>
      </c>
      <c r="P713">
        <v>240</v>
      </c>
      <c r="Q713">
        <v>0</v>
      </c>
    </row>
    <row r="714" spans="1:17" x14ac:dyDescent="0.2">
      <c r="A714" t="s">
        <v>778</v>
      </c>
      <c r="B714" t="s">
        <v>779</v>
      </c>
      <c r="C714" t="s">
        <v>194</v>
      </c>
      <c r="D714" s="8">
        <v>12605969</v>
      </c>
      <c r="E714" t="s">
        <v>66</v>
      </c>
      <c r="F714" t="s">
        <v>67</v>
      </c>
      <c r="G714" t="s">
        <v>68</v>
      </c>
      <c r="H714">
        <v>24</v>
      </c>
      <c r="I714">
        <v>450.03</v>
      </c>
      <c r="J714" t="s">
        <v>78</v>
      </c>
      <c r="K714" t="s">
        <v>70</v>
      </c>
      <c r="L714" t="s">
        <v>239</v>
      </c>
      <c r="M714" t="s">
        <v>72</v>
      </c>
      <c r="N714">
        <v>0.17</v>
      </c>
      <c r="O714">
        <v>0.16999999999999993</v>
      </c>
      <c r="P714">
        <v>24</v>
      </c>
      <c r="Q714">
        <v>0</v>
      </c>
    </row>
    <row r="715" spans="1:17" x14ac:dyDescent="0.2">
      <c r="A715" t="s">
        <v>778</v>
      </c>
      <c r="B715" t="s">
        <v>779</v>
      </c>
      <c r="C715" t="s">
        <v>194</v>
      </c>
      <c r="D715" s="8">
        <v>12436421</v>
      </c>
      <c r="E715" t="s">
        <v>6</v>
      </c>
      <c r="F715" t="s">
        <v>67</v>
      </c>
      <c r="G715" t="s">
        <v>68</v>
      </c>
      <c r="H715">
        <v>56</v>
      </c>
      <c r="I715">
        <v>601.79999999999995</v>
      </c>
      <c r="J715" t="s">
        <v>78</v>
      </c>
      <c r="K715" t="s">
        <v>70</v>
      </c>
      <c r="L715" t="s">
        <v>239</v>
      </c>
      <c r="M715" t="s">
        <v>72</v>
      </c>
      <c r="N715">
        <v>0.28999999999999998</v>
      </c>
      <c r="O715">
        <v>0.29000000000000004</v>
      </c>
      <c r="P715">
        <v>56</v>
      </c>
      <c r="Q715">
        <v>0</v>
      </c>
    </row>
    <row r="716" spans="1:17" x14ac:dyDescent="0.2">
      <c r="A716" t="s">
        <v>778</v>
      </c>
      <c r="B716" t="s">
        <v>779</v>
      </c>
      <c r="C716" t="s">
        <v>194</v>
      </c>
      <c r="D716" s="8">
        <v>14038791</v>
      </c>
      <c r="E716" t="s">
        <v>113</v>
      </c>
      <c r="F716" t="s">
        <v>67</v>
      </c>
      <c r="G716" t="s">
        <v>68</v>
      </c>
      <c r="H716">
        <v>5</v>
      </c>
      <c r="I716">
        <v>571.67999999999995</v>
      </c>
      <c r="J716" t="s">
        <v>78</v>
      </c>
      <c r="K716" t="s">
        <v>70</v>
      </c>
      <c r="L716" t="s">
        <v>239</v>
      </c>
      <c r="M716" t="s">
        <v>72</v>
      </c>
      <c r="N716">
        <v>0.25</v>
      </c>
      <c r="O716">
        <v>0.25</v>
      </c>
      <c r="P716">
        <v>5</v>
      </c>
      <c r="Q716">
        <v>0</v>
      </c>
    </row>
    <row r="717" spans="1:17" x14ac:dyDescent="0.2">
      <c r="A717" t="s">
        <v>778</v>
      </c>
      <c r="B717" t="s">
        <v>779</v>
      </c>
      <c r="C717" t="s">
        <v>194</v>
      </c>
      <c r="D717" s="8">
        <v>14471625</v>
      </c>
      <c r="E717" t="s">
        <v>781</v>
      </c>
      <c r="F717" t="s">
        <v>67</v>
      </c>
      <c r="G717" t="s">
        <v>68</v>
      </c>
      <c r="H717">
        <v>1</v>
      </c>
      <c r="I717">
        <v>95.2</v>
      </c>
      <c r="J717" t="s">
        <v>78</v>
      </c>
      <c r="K717" t="s">
        <v>70</v>
      </c>
      <c r="L717" t="s">
        <v>239</v>
      </c>
      <c r="M717" t="s">
        <v>72</v>
      </c>
      <c r="N717">
        <v>0.04</v>
      </c>
      <c r="O717">
        <v>4.0000000000000036E-2</v>
      </c>
      <c r="P717">
        <v>1</v>
      </c>
      <c r="Q717">
        <v>0</v>
      </c>
    </row>
    <row r="718" spans="1:17" x14ac:dyDescent="0.2">
      <c r="A718" t="s">
        <v>782</v>
      </c>
      <c r="B718" t="s">
        <v>783</v>
      </c>
      <c r="C718" t="s">
        <v>784</v>
      </c>
      <c r="D718" s="8">
        <v>43564</v>
      </c>
      <c r="E718" t="s">
        <v>97</v>
      </c>
      <c r="F718" t="s">
        <v>67</v>
      </c>
      <c r="G718" t="s">
        <v>68</v>
      </c>
      <c r="H718">
        <v>2</v>
      </c>
      <c r="I718">
        <v>134.53</v>
      </c>
      <c r="J718" t="s">
        <v>78</v>
      </c>
      <c r="K718" t="s">
        <v>70</v>
      </c>
      <c r="L718" t="s">
        <v>239</v>
      </c>
      <c r="M718" t="s">
        <v>72</v>
      </c>
      <c r="N718">
        <v>2</v>
      </c>
      <c r="O718">
        <v>0</v>
      </c>
      <c r="P718">
        <v>0</v>
      </c>
      <c r="Q718">
        <v>2</v>
      </c>
    </row>
    <row r="719" spans="1:17" x14ac:dyDescent="0.2">
      <c r="A719" t="s">
        <v>782</v>
      </c>
      <c r="B719" t="s">
        <v>783</v>
      </c>
      <c r="C719" t="s">
        <v>784</v>
      </c>
      <c r="D719" s="8">
        <v>12613402</v>
      </c>
      <c r="E719" t="s">
        <v>73</v>
      </c>
      <c r="F719" t="s">
        <v>67</v>
      </c>
      <c r="G719" t="s">
        <v>68</v>
      </c>
      <c r="H719">
        <v>6</v>
      </c>
      <c r="I719">
        <v>18.32</v>
      </c>
      <c r="J719" t="s">
        <v>78</v>
      </c>
      <c r="K719" t="s">
        <v>70</v>
      </c>
      <c r="L719" t="s">
        <v>239</v>
      </c>
      <c r="M719" t="s">
        <v>72</v>
      </c>
      <c r="N719">
        <v>0.01</v>
      </c>
      <c r="O719">
        <v>1.0000000000000009E-2</v>
      </c>
      <c r="P719">
        <v>6</v>
      </c>
      <c r="Q719">
        <v>0</v>
      </c>
    </row>
    <row r="720" spans="1:17" x14ac:dyDescent="0.2">
      <c r="A720" t="s">
        <v>782</v>
      </c>
      <c r="B720" t="s">
        <v>783</v>
      </c>
      <c r="C720" t="s">
        <v>784</v>
      </c>
      <c r="D720" s="8">
        <v>12605969</v>
      </c>
      <c r="E720" t="s">
        <v>66</v>
      </c>
      <c r="F720" t="s">
        <v>67</v>
      </c>
      <c r="G720" t="s">
        <v>68</v>
      </c>
      <c r="H720">
        <v>2</v>
      </c>
      <c r="I720">
        <v>37.5</v>
      </c>
      <c r="J720" t="s">
        <v>78</v>
      </c>
      <c r="K720" t="s">
        <v>70</v>
      </c>
      <c r="L720" t="s">
        <v>239</v>
      </c>
      <c r="M720" t="s">
        <v>72</v>
      </c>
      <c r="N720">
        <v>0.01</v>
      </c>
      <c r="O720">
        <v>1.0000000000000009E-2</v>
      </c>
      <c r="P720">
        <v>2</v>
      </c>
      <c r="Q720">
        <v>0</v>
      </c>
    </row>
    <row r="721" spans="1:17" x14ac:dyDescent="0.2">
      <c r="A721" t="s">
        <v>782</v>
      </c>
      <c r="B721" t="s">
        <v>783</v>
      </c>
      <c r="C721" t="s">
        <v>784</v>
      </c>
      <c r="D721" s="8">
        <v>12436421</v>
      </c>
      <c r="E721" t="s">
        <v>6</v>
      </c>
      <c r="F721" t="s">
        <v>67</v>
      </c>
      <c r="G721" t="s">
        <v>68</v>
      </c>
      <c r="H721">
        <v>8</v>
      </c>
      <c r="I721">
        <v>85.97</v>
      </c>
      <c r="J721" t="s">
        <v>78</v>
      </c>
      <c r="K721" t="s">
        <v>70</v>
      </c>
      <c r="L721" t="s">
        <v>239</v>
      </c>
      <c r="M721" t="s">
        <v>72</v>
      </c>
      <c r="N721">
        <v>0.04</v>
      </c>
      <c r="O721">
        <v>4.0000000000000036E-2</v>
      </c>
      <c r="P721">
        <v>8</v>
      </c>
      <c r="Q721">
        <v>0</v>
      </c>
    </row>
    <row r="722" spans="1:17" x14ac:dyDescent="0.2">
      <c r="A722" t="s">
        <v>782</v>
      </c>
      <c r="B722" t="s">
        <v>783</v>
      </c>
      <c r="C722" t="s">
        <v>784</v>
      </c>
      <c r="D722" s="8">
        <v>12575127</v>
      </c>
      <c r="E722" t="s">
        <v>13</v>
      </c>
      <c r="F722" t="s">
        <v>67</v>
      </c>
      <c r="G722" t="s">
        <v>68</v>
      </c>
      <c r="H722">
        <v>12</v>
      </c>
      <c r="I722">
        <v>103.97</v>
      </c>
      <c r="J722" t="s">
        <v>78</v>
      </c>
      <c r="K722" t="s">
        <v>70</v>
      </c>
      <c r="L722" t="s">
        <v>239</v>
      </c>
      <c r="M722" t="s">
        <v>72</v>
      </c>
      <c r="N722">
        <v>0.02</v>
      </c>
      <c r="O722">
        <v>2.0000000000000018E-2</v>
      </c>
      <c r="P722">
        <v>12</v>
      </c>
      <c r="Q722">
        <v>0</v>
      </c>
    </row>
    <row r="723" spans="1:17" x14ac:dyDescent="0.2">
      <c r="A723" t="s">
        <v>782</v>
      </c>
      <c r="B723" t="s">
        <v>783</v>
      </c>
      <c r="C723" t="s">
        <v>784</v>
      </c>
      <c r="D723" s="8">
        <v>12560070</v>
      </c>
      <c r="E723" t="s">
        <v>15</v>
      </c>
      <c r="F723" t="s">
        <v>67</v>
      </c>
      <c r="G723" t="s">
        <v>68</v>
      </c>
      <c r="H723">
        <v>8</v>
      </c>
      <c r="I723">
        <v>38.28</v>
      </c>
      <c r="J723" t="s">
        <v>78</v>
      </c>
      <c r="K723" t="s">
        <v>70</v>
      </c>
      <c r="L723" t="s">
        <v>239</v>
      </c>
      <c r="M723" t="s">
        <v>72</v>
      </c>
      <c r="N723">
        <v>0.01</v>
      </c>
      <c r="O723">
        <v>1.0000000000000009E-2</v>
      </c>
      <c r="P723">
        <v>8</v>
      </c>
      <c r="Q723">
        <v>0</v>
      </c>
    </row>
    <row r="724" spans="1:17" x14ac:dyDescent="0.2">
      <c r="A724" t="s">
        <v>785</v>
      </c>
      <c r="B724" t="s">
        <v>786</v>
      </c>
      <c r="C724" t="s">
        <v>564</v>
      </c>
      <c r="D724" s="8">
        <v>43564</v>
      </c>
      <c r="E724" t="s">
        <v>97</v>
      </c>
      <c r="F724" t="s">
        <v>67</v>
      </c>
      <c r="G724" t="s">
        <v>68</v>
      </c>
      <c r="H724">
        <v>2</v>
      </c>
      <c r="I724">
        <v>134.53</v>
      </c>
      <c r="J724" t="s">
        <v>78</v>
      </c>
      <c r="K724" t="s">
        <v>70</v>
      </c>
      <c r="L724" t="s">
        <v>239</v>
      </c>
      <c r="M724" t="s">
        <v>72</v>
      </c>
      <c r="N724">
        <v>2</v>
      </c>
      <c r="O724">
        <v>0</v>
      </c>
      <c r="P724">
        <v>0</v>
      </c>
      <c r="Q724">
        <v>2</v>
      </c>
    </row>
    <row r="725" spans="1:17" x14ac:dyDescent="0.2">
      <c r="A725" t="s">
        <v>785</v>
      </c>
      <c r="B725" t="s">
        <v>786</v>
      </c>
      <c r="C725" t="s">
        <v>564</v>
      </c>
      <c r="D725" s="8">
        <v>12613402</v>
      </c>
      <c r="E725" t="s">
        <v>73</v>
      </c>
      <c r="F725" t="s">
        <v>67</v>
      </c>
      <c r="G725" t="s">
        <v>68</v>
      </c>
      <c r="H725">
        <v>6</v>
      </c>
      <c r="I725">
        <v>18.32</v>
      </c>
      <c r="J725" t="s">
        <v>78</v>
      </c>
      <c r="K725" t="s">
        <v>70</v>
      </c>
      <c r="L725" t="s">
        <v>239</v>
      </c>
      <c r="M725" t="s">
        <v>72</v>
      </c>
      <c r="N725">
        <v>0.01</v>
      </c>
      <c r="O725">
        <v>1.0000000000000009E-2</v>
      </c>
      <c r="P725">
        <v>6</v>
      </c>
      <c r="Q725">
        <v>0</v>
      </c>
    </row>
    <row r="726" spans="1:17" x14ac:dyDescent="0.2">
      <c r="A726" t="s">
        <v>785</v>
      </c>
      <c r="B726" t="s">
        <v>786</v>
      </c>
      <c r="C726" t="s">
        <v>564</v>
      </c>
      <c r="D726" s="8">
        <v>12605969</v>
      </c>
      <c r="E726" t="s">
        <v>66</v>
      </c>
      <c r="F726" t="s">
        <v>67</v>
      </c>
      <c r="G726" t="s">
        <v>68</v>
      </c>
      <c r="H726">
        <v>2</v>
      </c>
      <c r="I726">
        <v>37.5</v>
      </c>
      <c r="J726" t="s">
        <v>78</v>
      </c>
      <c r="K726" t="s">
        <v>70</v>
      </c>
      <c r="L726" t="s">
        <v>239</v>
      </c>
      <c r="M726" t="s">
        <v>72</v>
      </c>
      <c r="N726">
        <v>0.01</v>
      </c>
      <c r="O726">
        <v>1.0000000000000009E-2</v>
      </c>
      <c r="P726">
        <v>2</v>
      </c>
      <c r="Q726">
        <v>0</v>
      </c>
    </row>
    <row r="727" spans="1:17" x14ac:dyDescent="0.2">
      <c r="A727" t="s">
        <v>785</v>
      </c>
      <c r="B727" t="s">
        <v>786</v>
      </c>
      <c r="C727" t="s">
        <v>564</v>
      </c>
      <c r="D727" s="8">
        <v>12436421</v>
      </c>
      <c r="E727" t="s">
        <v>6</v>
      </c>
      <c r="F727" t="s">
        <v>67</v>
      </c>
      <c r="G727" t="s">
        <v>68</v>
      </c>
      <c r="H727">
        <v>8</v>
      </c>
      <c r="I727">
        <v>85.97</v>
      </c>
      <c r="J727" t="s">
        <v>78</v>
      </c>
      <c r="K727" t="s">
        <v>70</v>
      </c>
      <c r="L727" t="s">
        <v>239</v>
      </c>
      <c r="M727" t="s">
        <v>72</v>
      </c>
      <c r="N727">
        <v>0.04</v>
      </c>
      <c r="O727">
        <v>4.0000000000000036E-2</v>
      </c>
      <c r="P727">
        <v>8</v>
      </c>
      <c r="Q727">
        <v>0</v>
      </c>
    </row>
    <row r="728" spans="1:17" x14ac:dyDescent="0.2">
      <c r="A728" t="s">
        <v>785</v>
      </c>
      <c r="B728" t="s">
        <v>786</v>
      </c>
      <c r="C728" t="s">
        <v>564</v>
      </c>
      <c r="D728" s="8">
        <v>12575127</v>
      </c>
      <c r="E728" t="s">
        <v>13</v>
      </c>
      <c r="F728" t="s">
        <v>67</v>
      </c>
      <c r="G728" t="s">
        <v>68</v>
      </c>
      <c r="H728">
        <v>12</v>
      </c>
      <c r="I728">
        <v>103.97</v>
      </c>
      <c r="J728" t="s">
        <v>78</v>
      </c>
      <c r="K728" t="s">
        <v>70</v>
      </c>
      <c r="L728" t="s">
        <v>239</v>
      </c>
      <c r="M728" t="s">
        <v>72</v>
      </c>
      <c r="N728">
        <v>0.02</v>
      </c>
      <c r="O728">
        <v>2.0000000000000018E-2</v>
      </c>
      <c r="P728">
        <v>12</v>
      </c>
      <c r="Q728">
        <v>0</v>
      </c>
    </row>
    <row r="729" spans="1:17" x14ac:dyDescent="0.2">
      <c r="A729" t="s">
        <v>785</v>
      </c>
      <c r="B729" t="s">
        <v>786</v>
      </c>
      <c r="C729" t="s">
        <v>564</v>
      </c>
      <c r="D729" s="8">
        <v>12560070</v>
      </c>
      <c r="E729" t="s">
        <v>15</v>
      </c>
      <c r="F729" t="s">
        <v>67</v>
      </c>
      <c r="G729" t="s">
        <v>68</v>
      </c>
      <c r="H729">
        <v>8</v>
      </c>
      <c r="I729">
        <v>38.28</v>
      </c>
      <c r="J729" t="s">
        <v>78</v>
      </c>
      <c r="K729" t="s">
        <v>70</v>
      </c>
      <c r="L729" t="s">
        <v>239</v>
      </c>
      <c r="M729" t="s">
        <v>72</v>
      </c>
      <c r="N729">
        <v>0.01</v>
      </c>
      <c r="O729">
        <v>1.0000000000000009E-2</v>
      </c>
      <c r="P729">
        <v>8</v>
      </c>
      <c r="Q7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07F2-5DCB-44F5-8416-8289AB0112E8}">
  <dimension ref="A1:H131"/>
  <sheetViews>
    <sheetView tabSelected="1" workbookViewId="0">
      <selection activeCell="F120" sqref="F120"/>
    </sheetView>
  </sheetViews>
  <sheetFormatPr defaultRowHeight="12.75" x14ac:dyDescent="0.2"/>
  <cols>
    <col min="1" max="1" width="13.7109375" style="2" bestFit="1" customWidth="1"/>
    <col min="2" max="2" width="43.85546875" style="2" bestFit="1" customWidth="1"/>
    <col min="3" max="5" width="15.42578125" style="2" customWidth="1"/>
    <col min="6" max="6" width="9.140625" style="2"/>
    <col min="7" max="8" width="9.140625" style="1"/>
    <col min="9" max="16384" width="9.140625" style="2"/>
  </cols>
  <sheetData>
    <row r="1" spans="1:8" s="3" customFormat="1" x14ac:dyDescent="0.2">
      <c r="A1" s="3" t="s">
        <v>17</v>
      </c>
      <c r="B1" s="3" t="s">
        <v>18</v>
      </c>
      <c r="C1" s="3" t="s">
        <v>21</v>
      </c>
      <c r="D1" s="3" t="s">
        <v>19</v>
      </c>
      <c r="E1" s="3" t="s">
        <v>20</v>
      </c>
      <c r="G1" s="6"/>
      <c r="H1" s="6"/>
    </row>
    <row r="2" spans="1:8" x14ac:dyDescent="0.2">
      <c r="A2" s="2">
        <v>12613095</v>
      </c>
      <c r="B2" s="2" t="s">
        <v>75</v>
      </c>
      <c r="C2" s="2">
        <v>31.758333333333336</v>
      </c>
      <c r="D2" s="2">
        <v>24</v>
      </c>
      <c r="E2" s="2">
        <v>1</v>
      </c>
      <c r="G2" s="7"/>
      <c r="H2" s="5"/>
    </row>
    <row r="3" spans="1:8" x14ac:dyDescent="0.2">
      <c r="A3" s="2">
        <v>12560070</v>
      </c>
      <c r="B3" s="2" t="s">
        <v>15</v>
      </c>
      <c r="C3" s="2">
        <v>4.7850000000000001</v>
      </c>
      <c r="D3" s="2">
        <v>960</v>
      </c>
      <c r="E3" s="2">
        <v>16</v>
      </c>
      <c r="G3" s="7"/>
      <c r="H3" s="5"/>
    </row>
    <row r="4" spans="1:8" x14ac:dyDescent="0.2">
      <c r="A4" s="2">
        <v>12601664</v>
      </c>
      <c r="B4" s="2" t="s">
        <v>84</v>
      </c>
      <c r="C4" s="2">
        <v>75.97</v>
      </c>
      <c r="D4" s="2">
        <v>80</v>
      </c>
      <c r="E4" s="2">
        <v>1</v>
      </c>
      <c r="G4" s="7"/>
      <c r="H4" s="5"/>
    </row>
    <row r="5" spans="1:8" x14ac:dyDescent="0.2">
      <c r="A5" s="2">
        <v>12619308</v>
      </c>
      <c r="B5" s="2" t="s">
        <v>90</v>
      </c>
      <c r="C5" s="2">
        <v>22.917999999999999</v>
      </c>
      <c r="D5" s="2">
        <v>60</v>
      </c>
      <c r="E5" s="2">
        <v>1</v>
      </c>
      <c r="G5" s="7"/>
      <c r="H5" s="5"/>
    </row>
    <row r="6" spans="1:8" x14ac:dyDescent="0.2">
      <c r="A6" s="2">
        <v>12530671</v>
      </c>
      <c r="B6" s="2" t="s">
        <v>92</v>
      </c>
      <c r="C6" s="2">
        <v>2473.08</v>
      </c>
      <c r="D6" s="2">
        <v>2</v>
      </c>
      <c r="E6" s="2">
        <v>1</v>
      </c>
      <c r="G6" s="7"/>
      <c r="H6" s="5"/>
    </row>
    <row r="7" spans="1:8" x14ac:dyDescent="0.2">
      <c r="A7" s="2">
        <v>12520698</v>
      </c>
      <c r="B7" s="2" t="s">
        <v>37</v>
      </c>
      <c r="C7" s="2">
        <v>6.4329166666666664</v>
      </c>
      <c r="D7" s="2">
        <v>144</v>
      </c>
      <c r="E7" s="2">
        <v>12</v>
      </c>
      <c r="G7" s="7"/>
      <c r="H7" s="5"/>
    </row>
    <row r="8" spans="1:8" x14ac:dyDescent="0.2">
      <c r="A8" s="2">
        <v>12575024</v>
      </c>
      <c r="B8" s="2" t="s">
        <v>23</v>
      </c>
      <c r="C8" s="2">
        <v>258.48416666666668</v>
      </c>
      <c r="D8" s="2">
        <v>18</v>
      </c>
      <c r="E8" s="2">
        <v>1</v>
      </c>
      <c r="G8" s="7"/>
      <c r="H8" s="5"/>
    </row>
    <row r="9" spans="1:8" x14ac:dyDescent="0.2">
      <c r="A9" s="2">
        <v>43563</v>
      </c>
      <c r="B9" s="2" t="s">
        <v>96</v>
      </c>
      <c r="C9" s="2">
        <v>67.265000000000001</v>
      </c>
      <c r="D9" s="2">
        <v>1</v>
      </c>
      <c r="E9" s="2">
        <v>1</v>
      </c>
      <c r="G9" s="7"/>
      <c r="H9" s="5"/>
    </row>
    <row r="10" spans="1:8" x14ac:dyDescent="0.2">
      <c r="A10" s="2">
        <v>12562976</v>
      </c>
      <c r="B10" s="2" t="s">
        <v>99</v>
      </c>
      <c r="C10" s="2">
        <v>13.340999999999999</v>
      </c>
      <c r="D10" s="2">
        <v>100</v>
      </c>
      <c r="E10" s="2">
        <v>1</v>
      </c>
      <c r="G10" s="7"/>
      <c r="H10" s="5"/>
    </row>
    <row r="11" spans="1:8" x14ac:dyDescent="0.2">
      <c r="A11" s="2">
        <v>12575055</v>
      </c>
      <c r="B11" s="2" t="s">
        <v>10</v>
      </c>
      <c r="C11" s="2">
        <v>119.66666666666667</v>
      </c>
      <c r="D11" s="2">
        <v>24</v>
      </c>
      <c r="E11" s="2">
        <v>1</v>
      </c>
      <c r="G11" s="7"/>
      <c r="H11" s="5"/>
    </row>
    <row r="12" spans="1:8" x14ac:dyDescent="0.2">
      <c r="A12" s="2">
        <v>12612587</v>
      </c>
      <c r="B12" s="2" t="s">
        <v>101</v>
      </c>
      <c r="C12" s="2">
        <v>250.13333333333333</v>
      </c>
      <c r="D12" s="2">
        <v>20</v>
      </c>
      <c r="E12" s="2">
        <v>1</v>
      </c>
      <c r="G12" s="7"/>
      <c r="H12" s="5"/>
    </row>
    <row r="13" spans="1:8" x14ac:dyDescent="0.2">
      <c r="A13" s="2">
        <v>60448</v>
      </c>
      <c r="B13" s="2" t="s">
        <v>102</v>
      </c>
      <c r="C13" s="2">
        <v>17.885000000000002</v>
      </c>
      <c r="D13" s="2">
        <v>1</v>
      </c>
      <c r="E13" s="2">
        <v>1</v>
      </c>
      <c r="G13" s="7"/>
      <c r="H13" s="5"/>
    </row>
    <row r="14" spans="1:8" x14ac:dyDescent="0.2">
      <c r="A14" s="2">
        <v>12560568</v>
      </c>
      <c r="B14" s="2" t="s">
        <v>34</v>
      </c>
      <c r="C14" s="2">
        <v>136.87</v>
      </c>
      <c r="D14" s="2">
        <v>24</v>
      </c>
      <c r="E14" s="2">
        <v>1</v>
      </c>
      <c r="G14" s="7"/>
      <c r="H14" s="5"/>
    </row>
    <row r="15" spans="1:8" x14ac:dyDescent="0.2">
      <c r="A15" s="2">
        <v>11667</v>
      </c>
      <c r="B15" s="2" t="s">
        <v>108</v>
      </c>
      <c r="C15" s="2">
        <v>99.995000000000005</v>
      </c>
      <c r="D15" s="4">
        <v>1</v>
      </c>
      <c r="E15" s="4">
        <v>1</v>
      </c>
      <c r="G15" s="7"/>
      <c r="H15" s="5"/>
    </row>
    <row r="16" spans="1:8" x14ac:dyDescent="0.2">
      <c r="A16" s="2">
        <v>12528207</v>
      </c>
      <c r="B16" s="2" t="s">
        <v>2</v>
      </c>
      <c r="C16" s="2">
        <v>35.592083333333335</v>
      </c>
      <c r="D16" s="4">
        <v>120</v>
      </c>
      <c r="E16" s="4">
        <v>6</v>
      </c>
      <c r="G16" s="7"/>
      <c r="H16" s="5"/>
    </row>
    <row r="17" spans="1:8" x14ac:dyDescent="0.2">
      <c r="A17" s="2">
        <v>12524340</v>
      </c>
      <c r="B17" s="2" t="s">
        <v>110</v>
      </c>
      <c r="C17" s="2">
        <v>52.786666666666669</v>
      </c>
      <c r="D17" s="4">
        <v>24</v>
      </c>
      <c r="E17" s="4">
        <v>1</v>
      </c>
      <c r="G17" s="7"/>
      <c r="H17" s="5"/>
    </row>
    <row r="18" spans="1:8" x14ac:dyDescent="0.2">
      <c r="A18" s="2">
        <v>12559971</v>
      </c>
      <c r="B18" s="2" t="s">
        <v>48</v>
      </c>
      <c r="C18" s="2">
        <v>11.238750000000001</v>
      </c>
      <c r="D18" s="4">
        <v>360</v>
      </c>
      <c r="E18" s="4">
        <v>6</v>
      </c>
      <c r="G18" s="7"/>
      <c r="H18" s="5"/>
    </row>
    <row r="19" spans="1:8" x14ac:dyDescent="0.2">
      <c r="A19" s="2">
        <v>12592060</v>
      </c>
      <c r="B19" s="2" t="s">
        <v>44</v>
      </c>
      <c r="C19" s="2">
        <v>62.18</v>
      </c>
      <c r="D19" s="4">
        <v>40</v>
      </c>
      <c r="E19" s="4">
        <v>1</v>
      </c>
      <c r="G19" s="7"/>
      <c r="H19" s="5"/>
    </row>
    <row r="20" spans="1:8" x14ac:dyDescent="0.2">
      <c r="A20" s="2">
        <v>12559980</v>
      </c>
      <c r="B20" s="2" t="s">
        <v>29</v>
      </c>
      <c r="C20" s="2">
        <v>27.650833333333335</v>
      </c>
      <c r="D20" s="2">
        <v>100</v>
      </c>
      <c r="E20" s="2">
        <v>1</v>
      </c>
      <c r="G20" s="7"/>
      <c r="H20" s="5"/>
    </row>
    <row r="21" spans="1:8" x14ac:dyDescent="0.2">
      <c r="A21" s="2">
        <v>12575127</v>
      </c>
      <c r="B21" s="2" t="s">
        <v>13</v>
      </c>
      <c r="C21" s="2">
        <v>8.6641666666666666</v>
      </c>
      <c r="D21" s="2">
        <v>504</v>
      </c>
      <c r="E21" s="2">
        <v>12</v>
      </c>
      <c r="G21" s="7"/>
      <c r="H21" s="5"/>
    </row>
    <row r="22" spans="1:8" x14ac:dyDescent="0.2">
      <c r="A22" s="2">
        <v>12575072</v>
      </c>
      <c r="B22" s="2" t="s">
        <v>100</v>
      </c>
      <c r="C22" s="2">
        <v>119.66833333333334</v>
      </c>
      <c r="D22" s="2">
        <v>24</v>
      </c>
      <c r="E22" s="2">
        <v>1</v>
      </c>
      <c r="G22" s="7"/>
      <c r="H22" s="5"/>
    </row>
    <row r="23" spans="1:8" x14ac:dyDescent="0.2">
      <c r="A23" s="2">
        <v>12575159</v>
      </c>
      <c r="B23" s="2" t="s">
        <v>14</v>
      </c>
      <c r="C23" s="2">
        <v>16.791666666666668</v>
      </c>
      <c r="D23" s="2">
        <v>256</v>
      </c>
      <c r="E23" s="2">
        <v>8</v>
      </c>
      <c r="G23" s="7"/>
      <c r="H23" s="5"/>
    </row>
    <row r="24" spans="1:8" x14ac:dyDescent="0.2">
      <c r="A24" s="2">
        <v>12618910</v>
      </c>
      <c r="B24" s="2" t="s">
        <v>112</v>
      </c>
      <c r="C24" s="2">
        <v>78.569999999999993</v>
      </c>
      <c r="D24" s="4">
        <v>10</v>
      </c>
      <c r="E24" s="4">
        <v>1</v>
      </c>
      <c r="G24" s="7"/>
      <c r="H24" s="5"/>
    </row>
    <row r="25" spans="1:8" x14ac:dyDescent="0.2">
      <c r="A25" s="2">
        <v>12614118</v>
      </c>
      <c r="B25" s="2" t="s">
        <v>114</v>
      </c>
      <c r="C25" s="2">
        <v>101.03166666666668</v>
      </c>
      <c r="D25" s="4">
        <v>30</v>
      </c>
      <c r="E25" s="4">
        <v>1</v>
      </c>
      <c r="G25" s="7"/>
      <c r="H25" s="5"/>
    </row>
    <row r="26" spans="1:8" x14ac:dyDescent="0.2">
      <c r="A26" s="2">
        <v>12524132</v>
      </c>
      <c r="B26" s="2" t="s">
        <v>115</v>
      </c>
      <c r="C26" s="2">
        <v>52.79</v>
      </c>
      <c r="D26" s="4">
        <v>24</v>
      </c>
      <c r="E26" s="4">
        <v>1</v>
      </c>
      <c r="G26" s="7"/>
      <c r="H26" s="5"/>
    </row>
    <row r="27" spans="1:8" x14ac:dyDescent="0.2">
      <c r="A27" s="2">
        <v>12572793</v>
      </c>
      <c r="B27" s="2" t="s">
        <v>3</v>
      </c>
      <c r="C27" s="2">
        <v>413.62333333333328</v>
      </c>
      <c r="D27" s="4">
        <v>12</v>
      </c>
      <c r="E27" s="4">
        <v>1</v>
      </c>
      <c r="G27" s="7"/>
      <c r="H27" s="5"/>
    </row>
    <row r="28" spans="1:8" x14ac:dyDescent="0.2">
      <c r="A28" s="2">
        <v>12458262</v>
      </c>
      <c r="B28" s="2" t="s">
        <v>117</v>
      </c>
      <c r="C28" s="2">
        <v>26.73</v>
      </c>
      <c r="D28" s="4">
        <v>32</v>
      </c>
      <c r="E28" s="4">
        <v>1</v>
      </c>
      <c r="G28" s="7"/>
      <c r="H28" s="5"/>
    </row>
    <row r="29" spans="1:8" x14ac:dyDescent="0.2">
      <c r="A29" s="2">
        <v>12381195</v>
      </c>
      <c r="B29" s="2" t="s">
        <v>39</v>
      </c>
      <c r="C29" s="2">
        <v>107.49333333333334</v>
      </c>
      <c r="D29" s="4">
        <v>12</v>
      </c>
      <c r="E29" s="4">
        <v>1</v>
      </c>
      <c r="G29" s="7"/>
      <c r="H29" s="5"/>
    </row>
    <row r="30" spans="1:8" x14ac:dyDescent="0.2">
      <c r="A30" s="2">
        <v>12589945</v>
      </c>
      <c r="B30" s="2" t="s">
        <v>41</v>
      </c>
      <c r="C30" s="2">
        <v>353.97500000000002</v>
      </c>
      <c r="D30" s="4">
        <v>10</v>
      </c>
      <c r="E30" s="4">
        <v>1</v>
      </c>
      <c r="G30" s="7"/>
      <c r="H30" s="5"/>
    </row>
    <row r="31" spans="1:8" x14ac:dyDescent="0.2">
      <c r="A31" s="2">
        <v>12608813</v>
      </c>
      <c r="B31" s="2" t="s">
        <v>27</v>
      </c>
      <c r="C31" s="2">
        <v>188.785</v>
      </c>
      <c r="D31" s="4">
        <v>20</v>
      </c>
      <c r="E31" s="4">
        <v>1</v>
      </c>
      <c r="G31" s="7"/>
      <c r="H31" s="5"/>
    </row>
    <row r="32" spans="1:8" x14ac:dyDescent="0.2">
      <c r="A32" s="2">
        <v>12560539</v>
      </c>
      <c r="B32" s="2" t="s">
        <v>25</v>
      </c>
      <c r="C32" s="2">
        <v>136.86958333333334</v>
      </c>
      <c r="D32" s="4">
        <v>24</v>
      </c>
      <c r="E32" s="4">
        <v>1</v>
      </c>
      <c r="G32" s="7"/>
      <c r="H32" s="5"/>
    </row>
    <row r="33" spans="1:8" x14ac:dyDescent="0.2">
      <c r="A33" s="2">
        <v>12575053</v>
      </c>
      <c r="B33" s="2" t="s">
        <v>33</v>
      </c>
      <c r="C33" s="2">
        <v>1314.45</v>
      </c>
      <c r="D33" s="4">
        <v>3</v>
      </c>
      <c r="E33" s="4">
        <v>1</v>
      </c>
      <c r="G33" s="7"/>
      <c r="H33" s="5"/>
    </row>
    <row r="34" spans="1:8" x14ac:dyDescent="0.2">
      <c r="A34" s="2">
        <v>12575048</v>
      </c>
      <c r="B34" s="2" t="s">
        <v>118</v>
      </c>
      <c r="C34" s="2">
        <v>957.34500000000003</v>
      </c>
      <c r="D34" s="4">
        <v>4</v>
      </c>
      <c r="E34" s="4">
        <v>1</v>
      </c>
      <c r="G34" s="7"/>
      <c r="H34" s="5"/>
    </row>
    <row r="35" spans="1:8" x14ac:dyDescent="0.2">
      <c r="A35" s="2">
        <v>12608724</v>
      </c>
      <c r="B35" s="2" t="s">
        <v>120</v>
      </c>
      <c r="C35" s="2">
        <v>1038.3166666666666</v>
      </c>
      <c r="D35" s="4">
        <v>6</v>
      </c>
      <c r="E35" s="4">
        <v>1</v>
      </c>
      <c r="G35" s="7"/>
      <c r="H35" s="5"/>
    </row>
    <row r="36" spans="1:8" x14ac:dyDescent="0.2">
      <c r="A36" s="2">
        <v>12617404</v>
      </c>
      <c r="B36" s="2" t="s">
        <v>121</v>
      </c>
      <c r="C36" s="2">
        <v>1179.905</v>
      </c>
      <c r="D36" s="4">
        <v>6</v>
      </c>
      <c r="E36" s="4">
        <v>1</v>
      </c>
      <c r="G36" s="7"/>
      <c r="H36" s="5"/>
    </row>
    <row r="37" spans="1:8" x14ac:dyDescent="0.2">
      <c r="A37" s="2">
        <v>12583437</v>
      </c>
      <c r="B37" s="2" t="s">
        <v>122</v>
      </c>
      <c r="C37" s="2">
        <v>938.59</v>
      </c>
      <c r="D37" s="4">
        <v>8</v>
      </c>
      <c r="E37" s="4">
        <v>1</v>
      </c>
      <c r="G37" s="7"/>
      <c r="H37" s="5"/>
    </row>
    <row r="38" spans="1:8" x14ac:dyDescent="0.2">
      <c r="A38" s="2">
        <v>12623637</v>
      </c>
      <c r="B38" s="2" t="s">
        <v>123</v>
      </c>
      <c r="C38" s="2">
        <v>212.38666666666666</v>
      </c>
      <c r="D38" s="4">
        <v>12</v>
      </c>
      <c r="E38" s="4">
        <v>1</v>
      </c>
      <c r="G38" s="7"/>
      <c r="H38" s="5"/>
    </row>
    <row r="39" spans="1:8" x14ac:dyDescent="0.2">
      <c r="A39" s="2">
        <v>12572791</v>
      </c>
      <c r="B39" s="2" t="s">
        <v>31</v>
      </c>
      <c r="C39" s="2">
        <v>509.80500000000001</v>
      </c>
      <c r="D39" s="4">
        <v>10</v>
      </c>
      <c r="E39" s="4">
        <v>1</v>
      </c>
      <c r="G39" s="7"/>
      <c r="H39" s="5"/>
    </row>
    <row r="40" spans="1:8" x14ac:dyDescent="0.2">
      <c r="A40" s="2">
        <v>12623770</v>
      </c>
      <c r="B40" s="2" t="s">
        <v>124</v>
      </c>
      <c r="C40" s="2">
        <v>316.22000000000003</v>
      </c>
      <c r="D40" s="4">
        <v>12</v>
      </c>
      <c r="E40" s="4">
        <v>1</v>
      </c>
      <c r="G40" s="7"/>
      <c r="H40" s="5"/>
    </row>
    <row r="41" spans="1:8" x14ac:dyDescent="0.2">
      <c r="A41" s="2">
        <v>12575602</v>
      </c>
      <c r="B41" s="2" t="s">
        <v>45</v>
      </c>
      <c r="C41" s="2">
        <v>179.01</v>
      </c>
      <c r="D41" s="4">
        <v>14</v>
      </c>
      <c r="E41" s="4">
        <v>1</v>
      </c>
      <c r="G41" s="7"/>
      <c r="H41" s="5"/>
    </row>
    <row r="42" spans="1:8" x14ac:dyDescent="0.2">
      <c r="A42" s="2">
        <v>12463569</v>
      </c>
      <c r="B42" s="2" t="s">
        <v>125</v>
      </c>
      <c r="C42" s="2">
        <v>802.35</v>
      </c>
      <c r="D42" s="4">
        <v>18</v>
      </c>
      <c r="E42" s="4">
        <v>1</v>
      </c>
      <c r="G42" s="7"/>
      <c r="H42" s="5"/>
    </row>
    <row r="43" spans="1:8" x14ac:dyDescent="0.2">
      <c r="A43" s="2">
        <v>12530764</v>
      </c>
      <c r="B43" s="2" t="s">
        <v>126</v>
      </c>
      <c r="C43" s="2">
        <v>612.62</v>
      </c>
      <c r="D43" s="4">
        <v>18</v>
      </c>
      <c r="E43" s="4">
        <v>1</v>
      </c>
      <c r="G43" s="7"/>
      <c r="H43" s="5"/>
    </row>
    <row r="44" spans="1:8" x14ac:dyDescent="0.2">
      <c r="A44" s="2">
        <v>12530777</v>
      </c>
      <c r="B44" s="2" t="s">
        <v>46</v>
      </c>
      <c r="C44" s="2">
        <v>646.6</v>
      </c>
      <c r="D44" s="4">
        <v>18</v>
      </c>
      <c r="E44" s="4">
        <v>1</v>
      </c>
      <c r="G44" s="7"/>
      <c r="H44" s="5"/>
    </row>
    <row r="45" spans="1:8" x14ac:dyDescent="0.2">
      <c r="A45" s="2">
        <v>12583453</v>
      </c>
      <c r="B45" s="2" t="s">
        <v>128</v>
      </c>
      <c r="C45" s="2">
        <v>202.02</v>
      </c>
      <c r="D45" s="4">
        <v>20</v>
      </c>
      <c r="E45" s="4">
        <v>1</v>
      </c>
      <c r="G45" s="7"/>
      <c r="H45" s="5"/>
    </row>
    <row r="46" spans="1:8" x14ac:dyDescent="0.2">
      <c r="A46" s="2">
        <v>12608789</v>
      </c>
      <c r="B46" s="2" t="s">
        <v>28</v>
      </c>
      <c r="C46" s="2">
        <v>188.785</v>
      </c>
      <c r="D46" s="4">
        <v>20</v>
      </c>
      <c r="E46" s="4">
        <v>1</v>
      </c>
      <c r="G46" s="7"/>
      <c r="H46" s="5"/>
    </row>
    <row r="47" spans="1:8" x14ac:dyDescent="0.2">
      <c r="A47" s="2">
        <v>12616334</v>
      </c>
      <c r="B47" s="2" t="s">
        <v>129</v>
      </c>
      <c r="C47" s="2">
        <v>278.44666666666666</v>
      </c>
      <c r="D47" s="4">
        <v>20</v>
      </c>
      <c r="E47" s="4">
        <v>1</v>
      </c>
      <c r="G47" s="7"/>
      <c r="H47" s="5"/>
    </row>
    <row r="48" spans="1:8" x14ac:dyDescent="0.2">
      <c r="A48" s="2">
        <v>12575080</v>
      </c>
      <c r="B48" s="2" t="s">
        <v>22</v>
      </c>
      <c r="C48" s="2">
        <v>1314.45</v>
      </c>
      <c r="D48" s="4">
        <v>3</v>
      </c>
      <c r="E48" s="4">
        <v>1</v>
      </c>
      <c r="G48" s="7"/>
      <c r="H48" s="5"/>
    </row>
    <row r="49" spans="1:8" x14ac:dyDescent="0.2">
      <c r="A49" s="2">
        <v>12574999</v>
      </c>
      <c r="B49" s="2" t="s">
        <v>130</v>
      </c>
      <c r="C49" s="2">
        <v>828.11</v>
      </c>
      <c r="D49" s="4">
        <v>4</v>
      </c>
      <c r="E49" s="4">
        <v>1</v>
      </c>
      <c r="G49" s="7"/>
      <c r="H49" s="5"/>
    </row>
    <row r="50" spans="1:8" x14ac:dyDescent="0.2">
      <c r="A50" s="2">
        <v>12572785</v>
      </c>
      <c r="B50" s="2" t="s">
        <v>32</v>
      </c>
      <c r="C50" s="2">
        <v>668.53</v>
      </c>
      <c r="D50" s="4">
        <v>6</v>
      </c>
      <c r="E50" s="4">
        <v>1</v>
      </c>
      <c r="G50" s="7"/>
      <c r="H50" s="5"/>
    </row>
    <row r="51" spans="1:8" x14ac:dyDescent="0.2">
      <c r="A51" s="2">
        <v>12579699</v>
      </c>
      <c r="B51" s="2" t="s">
        <v>131</v>
      </c>
      <c r="C51" s="2">
        <v>7.5750000000000002</v>
      </c>
      <c r="D51" s="4">
        <v>224</v>
      </c>
      <c r="E51" s="4">
        <v>8</v>
      </c>
      <c r="G51" s="7"/>
      <c r="H51" s="5"/>
    </row>
    <row r="52" spans="1:8" x14ac:dyDescent="0.2">
      <c r="A52" s="2">
        <v>12592052</v>
      </c>
      <c r="B52" s="2" t="s">
        <v>36</v>
      </c>
      <c r="C52" s="2">
        <v>109.98333333333333</v>
      </c>
      <c r="D52" s="4">
        <v>24</v>
      </c>
      <c r="E52" s="4">
        <v>1</v>
      </c>
      <c r="G52" s="7"/>
      <c r="H52" s="5"/>
    </row>
    <row r="53" spans="1:8" x14ac:dyDescent="0.2">
      <c r="A53" s="2">
        <v>12616308</v>
      </c>
      <c r="B53" s="2" t="s">
        <v>132</v>
      </c>
      <c r="C53" s="2">
        <v>528.6</v>
      </c>
      <c r="D53" s="4">
        <v>10</v>
      </c>
      <c r="E53" s="4">
        <v>1</v>
      </c>
      <c r="G53" s="7"/>
      <c r="H53" s="5"/>
    </row>
    <row r="54" spans="1:8" x14ac:dyDescent="0.2">
      <c r="A54" s="2">
        <v>12555624</v>
      </c>
      <c r="B54" s="2" t="s">
        <v>133</v>
      </c>
      <c r="C54" s="2">
        <v>102.84</v>
      </c>
      <c r="D54" s="4">
        <v>12</v>
      </c>
      <c r="E54" s="4">
        <v>1</v>
      </c>
      <c r="G54" s="7"/>
      <c r="H54" s="5"/>
    </row>
    <row r="55" spans="1:8" x14ac:dyDescent="0.2">
      <c r="A55" s="2">
        <v>12574114</v>
      </c>
      <c r="B55" s="2" t="s">
        <v>134</v>
      </c>
      <c r="C55" s="2">
        <v>101.155</v>
      </c>
      <c r="D55" s="4">
        <v>18</v>
      </c>
      <c r="E55" s="4">
        <v>1</v>
      </c>
      <c r="G55" s="7"/>
      <c r="H55" s="5"/>
    </row>
    <row r="56" spans="1:8" x14ac:dyDescent="0.2">
      <c r="A56" s="2">
        <v>12612733</v>
      </c>
      <c r="B56" s="2" t="s">
        <v>135</v>
      </c>
      <c r="C56" s="2">
        <v>240.7</v>
      </c>
      <c r="D56" s="4">
        <v>20</v>
      </c>
      <c r="E56" s="4">
        <v>1</v>
      </c>
      <c r="G56" s="7"/>
      <c r="H56" s="5"/>
    </row>
    <row r="57" spans="1:8" x14ac:dyDescent="0.2">
      <c r="A57" s="2">
        <v>12455866</v>
      </c>
      <c r="B57" s="2" t="s">
        <v>136</v>
      </c>
      <c r="C57" s="2">
        <v>36.646666666666668</v>
      </c>
      <c r="D57" s="4">
        <v>24</v>
      </c>
      <c r="E57" s="4">
        <v>1</v>
      </c>
      <c r="G57" s="7"/>
      <c r="H57" s="5"/>
    </row>
    <row r="58" spans="1:8" x14ac:dyDescent="0.2">
      <c r="A58" s="2">
        <v>12561374</v>
      </c>
      <c r="B58" s="2" t="s">
        <v>24</v>
      </c>
      <c r="C58" s="2">
        <v>136.87</v>
      </c>
      <c r="D58" s="4">
        <v>24</v>
      </c>
      <c r="E58" s="4">
        <v>1</v>
      </c>
      <c r="G58" s="7"/>
      <c r="H58" s="5"/>
    </row>
    <row r="59" spans="1:8" x14ac:dyDescent="0.2">
      <c r="A59" s="2">
        <v>12616312</v>
      </c>
      <c r="B59" s="2" t="s">
        <v>137</v>
      </c>
      <c r="C59" s="2">
        <v>93.45</v>
      </c>
      <c r="D59" s="4">
        <v>36</v>
      </c>
      <c r="E59" s="4">
        <v>1</v>
      </c>
      <c r="G59" s="7"/>
      <c r="H59" s="5"/>
    </row>
    <row r="60" spans="1:8" x14ac:dyDescent="0.2">
      <c r="A60" s="2">
        <v>12625979</v>
      </c>
      <c r="B60" s="2" t="s">
        <v>138</v>
      </c>
      <c r="C60" s="2">
        <v>74.489999999999995</v>
      </c>
      <c r="D60" s="4">
        <v>36</v>
      </c>
      <c r="E60" s="4">
        <v>4</v>
      </c>
      <c r="G60" s="7"/>
      <c r="H60" s="5"/>
    </row>
    <row r="61" spans="1:8" x14ac:dyDescent="0.2">
      <c r="A61" s="2">
        <v>12575100</v>
      </c>
      <c r="B61" s="2" t="s">
        <v>139</v>
      </c>
      <c r="C61" s="2">
        <v>746.73</v>
      </c>
      <c r="D61" s="4">
        <v>4</v>
      </c>
      <c r="E61" s="4">
        <v>1</v>
      </c>
      <c r="G61" s="7"/>
      <c r="H61" s="5"/>
    </row>
    <row r="62" spans="1:8" x14ac:dyDescent="0.2">
      <c r="A62" s="2">
        <v>12560970</v>
      </c>
      <c r="B62" s="2" t="s">
        <v>43</v>
      </c>
      <c r="C62" s="2">
        <v>67.935000000000002</v>
      </c>
      <c r="D62" s="4">
        <v>40</v>
      </c>
      <c r="E62" s="4">
        <v>1</v>
      </c>
      <c r="G62" s="7"/>
      <c r="H62" s="5"/>
    </row>
    <row r="63" spans="1:8" x14ac:dyDescent="0.2">
      <c r="A63" s="2">
        <v>12530661</v>
      </c>
      <c r="B63" s="2" t="s">
        <v>140</v>
      </c>
      <c r="C63" s="2">
        <v>768.02</v>
      </c>
      <c r="D63" s="4">
        <v>6</v>
      </c>
      <c r="E63" s="4">
        <v>1</v>
      </c>
      <c r="G63" s="7"/>
      <c r="H63" s="5"/>
    </row>
    <row r="64" spans="1:8" x14ac:dyDescent="0.2">
      <c r="A64" s="2">
        <v>12605969</v>
      </c>
      <c r="B64" s="2" t="s">
        <v>66</v>
      </c>
      <c r="C64" s="2">
        <v>18.75</v>
      </c>
      <c r="D64" s="2">
        <v>144</v>
      </c>
      <c r="E64" s="2">
        <v>12</v>
      </c>
      <c r="G64" s="7"/>
      <c r="H64" s="5"/>
    </row>
    <row r="65" spans="1:8" x14ac:dyDescent="0.2">
      <c r="A65" s="2">
        <v>12605994</v>
      </c>
      <c r="B65" s="2" t="s">
        <v>85</v>
      </c>
      <c r="C65" s="2">
        <v>18.75</v>
      </c>
      <c r="D65" s="2">
        <v>144</v>
      </c>
      <c r="E65" s="2">
        <v>12</v>
      </c>
      <c r="G65" s="7"/>
      <c r="H65" s="5"/>
    </row>
    <row r="66" spans="1:8" x14ac:dyDescent="0.2">
      <c r="A66" s="2">
        <v>43577</v>
      </c>
      <c r="B66" s="2" t="s">
        <v>98</v>
      </c>
      <c r="C66" s="2">
        <v>53.814999999999998</v>
      </c>
      <c r="D66" s="2">
        <v>1</v>
      </c>
      <c r="E66" s="2">
        <v>1</v>
      </c>
      <c r="G66" s="7"/>
      <c r="H66" s="5"/>
    </row>
    <row r="67" spans="1:8" x14ac:dyDescent="0.2">
      <c r="A67" s="2">
        <v>12575135</v>
      </c>
      <c r="B67" s="2" t="s">
        <v>141</v>
      </c>
      <c r="C67" s="2">
        <v>16.791875000000001</v>
      </c>
      <c r="D67" s="18">
        <v>256</v>
      </c>
      <c r="E67" s="18">
        <v>8</v>
      </c>
      <c r="G67" s="7"/>
      <c r="H67" s="5"/>
    </row>
    <row r="68" spans="1:8" x14ac:dyDescent="0.2">
      <c r="A68" s="2">
        <v>14038817</v>
      </c>
      <c r="B68" s="2" t="s">
        <v>79</v>
      </c>
      <c r="C68" s="2">
        <v>114.34</v>
      </c>
      <c r="D68" s="2">
        <v>20</v>
      </c>
      <c r="E68" s="2">
        <v>1</v>
      </c>
      <c r="G68" s="7"/>
      <c r="H68" s="5"/>
    </row>
    <row r="69" spans="1:8" x14ac:dyDescent="0.2">
      <c r="A69" s="2">
        <v>11330</v>
      </c>
      <c r="B69" s="2" t="s">
        <v>107</v>
      </c>
      <c r="C69" s="2">
        <v>112.505</v>
      </c>
      <c r="D69" s="2">
        <v>1</v>
      </c>
      <c r="E69" s="2">
        <v>1</v>
      </c>
      <c r="G69" s="7"/>
      <c r="H69" s="5"/>
    </row>
    <row r="70" spans="1:8" x14ac:dyDescent="0.2">
      <c r="A70" s="2">
        <v>12615979</v>
      </c>
      <c r="B70" s="2" t="s">
        <v>80</v>
      </c>
      <c r="C70" s="2">
        <v>128.45500000000001</v>
      </c>
      <c r="D70" s="2">
        <v>21</v>
      </c>
      <c r="E70" s="2">
        <v>1</v>
      </c>
      <c r="G70" s="7"/>
      <c r="H70" s="5"/>
    </row>
    <row r="71" spans="1:8" x14ac:dyDescent="0.2">
      <c r="A71" s="2">
        <v>13184019</v>
      </c>
      <c r="B71" s="2" t="s">
        <v>106</v>
      </c>
      <c r="C71" s="2">
        <v>84.41</v>
      </c>
      <c r="D71" s="2">
        <v>24</v>
      </c>
      <c r="E71" s="2">
        <v>1</v>
      </c>
      <c r="G71" s="7"/>
      <c r="H71" s="5"/>
    </row>
    <row r="72" spans="1:8" x14ac:dyDescent="0.2">
      <c r="A72" s="2">
        <v>12596599</v>
      </c>
      <c r="B72" s="2" t="s">
        <v>142</v>
      </c>
      <c r="C72" s="2">
        <v>7.4444999999999997</v>
      </c>
      <c r="D72" s="18">
        <v>240</v>
      </c>
      <c r="E72" s="18">
        <v>20</v>
      </c>
      <c r="G72" s="7"/>
      <c r="H72" s="5"/>
    </row>
    <row r="73" spans="1:8" x14ac:dyDescent="0.2">
      <c r="A73" s="2">
        <v>12618904</v>
      </c>
      <c r="B73" s="2" t="s">
        <v>104</v>
      </c>
      <c r="C73" s="2">
        <v>116.63</v>
      </c>
      <c r="D73" s="2">
        <v>6</v>
      </c>
      <c r="E73" s="2">
        <v>1</v>
      </c>
      <c r="G73" s="7"/>
      <c r="H73" s="5"/>
    </row>
    <row r="74" spans="1:8" x14ac:dyDescent="0.2">
      <c r="A74" s="2">
        <v>12618899</v>
      </c>
      <c r="B74" s="2" t="s">
        <v>76</v>
      </c>
      <c r="C74" s="2">
        <v>22.006666666666664</v>
      </c>
      <c r="D74" s="2">
        <v>36</v>
      </c>
      <c r="E74" s="2">
        <v>1</v>
      </c>
      <c r="G74" s="7"/>
      <c r="H74" s="5"/>
    </row>
    <row r="75" spans="1:8" x14ac:dyDescent="0.2">
      <c r="A75" s="2">
        <v>14038750</v>
      </c>
      <c r="B75" s="2" t="s">
        <v>86</v>
      </c>
      <c r="C75" s="2">
        <v>114.33499999999999</v>
      </c>
      <c r="D75" s="2">
        <v>20</v>
      </c>
      <c r="E75" s="2">
        <v>1</v>
      </c>
      <c r="G75" s="7"/>
      <c r="H75" s="5"/>
    </row>
    <row r="76" spans="1:8" x14ac:dyDescent="0.2">
      <c r="A76" s="2">
        <v>12614131</v>
      </c>
      <c r="B76" s="2" t="s">
        <v>95</v>
      </c>
      <c r="C76" s="2">
        <v>25.946666666666665</v>
      </c>
      <c r="D76" s="2">
        <v>60</v>
      </c>
      <c r="E76" s="2">
        <v>1</v>
      </c>
      <c r="G76" s="7"/>
      <c r="H76" s="5"/>
    </row>
    <row r="77" spans="1:8" x14ac:dyDescent="0.2">
      <c r="A77" s="2">
        <v>12592046</v>
      </c>
      <c r="B77" s="2" t="s">
        <v>47</v>
      </c>
      <c r="C77" s="2">
        <v>44.945</v>
      </c>
      <c r="D77" s="2">
        <v>60</v>
      </c>
      <c r="E77" s="2">
        <v>1</v>
      </c>
      <c r="G77" s="7"/>
      <c r="H77" s="5"/>
    </row>
    <row r="78" spans="1:8" x14ac:dyDescent="0.2">
      <c r="A78" s="2">
        <v>14338151</v>
      </c>
      <c r="B78" s="2" t="s">
        <v>143</v>
      </c>
      <c r="C78" s="2">
        <v>225.08</v>
      </c>
      <c r="D78" s="18">
        <v>14</v>
      </c>
      <c r="E78" s="18">
        <v>1</v>
      </c>
      <c r="G78" s="7"/>
      <c r="H78" s="5"/>
    </row>
    <row r="79" spans="1:8" x14ac:dyDescent="0.2">
      <c r="A79" s="2">
        <v>12623636</v>
      </c>
      <c r="B79" s="2" t="s">
        <v>94</v>
      </c>
      <c r="C79" s="2">
        <v>108.554</v>
      </c>
      <c r="D79" s="2">
        <v>32</v>
      </c>
      <c r="E79" s="2">
        <v>1</v>
      </c>
      <c r="G79" s="7"/>
      <c r="H79" s="5"/>
    </row>
    <row r="80" spans="1:8" x14ac:dyDescent="0.2">
      <c r="A80" s="2">
        <v>12596597</v>
      </c>
      <c r="B80" s="2" t="s">
        <v>144</v>
      </c>
      <c r="C80" s="2">
        <v>8.2787000000000006</v>
      </c>
      <c r="D80" s="18">
        <v>240</v>
      </c>
      <c r="E80" s="18">
        <v>20</v>
      </c>
      <c r="G80" s="7"/>
      <c r="H80" s="5"/>
    </row>
    <row r="81" spans="1:8" x14ac:dyDescent="0.2">
      <c r="A81" s="2">
        <v>12573834</v>
      </c>
      <c r="B81" s="2" t="s">
        <v>12</v>
      </c>
      <c r="C81" s="2">
        <v>5.9608333333333334</v>
      </c>
      <c r="D81" s="2">
        <v>288</v>
      </c>
      <c r="E81" s="2">
        <v>12</v>
      </c>
      <c r="G81" s="7"/>
      <c r="H81" s="5"/>
    </row>
    <row r="82" spans="1:8" x14ac:dyDescent="0.2">
      <c r="A82" s="2">
        <v>12589944</v>
      </c>
      <c r="B82" s="2" t="s">
        <v>1</v>
      </c>
      <c r="C82" s="2">
        <v>184.0685</v>
      </c>
      <c r="D82" s="2">
        <v>20</v>
      </c>
      <c r="E82" s="2">
        <v>1</v>
      </c>
      <c r="G82" s="7"/>
      <c r="H82" s="5"/>
    </row>
    <row r="83" spans="1:8" x14ac:dyDescent="0.2">
      <c r="A83" s="2">
        <v>12528223</v>
      </c>
      <c r="B83" s="2" t="s">
        <v>7</v>
      </c>
      <c r="C83" s="2">
        <v>105.81</v>
      </c>
      <c r="D83" s="2">
        <v>36</v>
      </c>
      <c r="E83" s="2">
        <v>1</v>
      </c>
      <c r="G83" s="7"/>
      <c r="H83" s="5"/>
    </row>
    <row r="84" spans="1:8" x14ac:dyDescent="0.2">
      <c r="A84" s="2">
        <v>12616322</v>
      </c>
      <c r="B84" s="2" t="s">
        <v>119</v>
      </c>
      <c r="C84" s="2">
        <v>1321.5</v>
      </c>
      <c r="D84" s="2">
        <v>4</v>
      </c>
      <c r="E84" s="2">
        <v>1</v>
      </c>
      <c r="G84" s="7"/>
      <c r="H84" s="5"/>
    </row>
    <row r="85" spans="1:8" x14ac:dyDescent="0.2">
      <c r="A85" s="2">
        <v>21656</v>
      </c>
      <c r="B85" s="2" t="s">
        <v>147</v>
      </c>
      <c r="C85" s="2">
        <v>43.287500000000001</v>
      </c>
      <c r="D85" s="18">
        <v>1</v>
      </c>
      <c r="E85" s="18">
        <v>1</v>
      </c>
      <c r="G85" s="7"/>
      <c r="H85" s="5"/>
    </row>
    <row r="86" spans="1:8" x14ac:dyDescent="0.2">
      <c r="A86" s="2">
        <v>12610876</v>
      </c>
      <c r="B86" s="2" t="s">
        <v>148</v>
      </c>
      <c r="C86" s="2">
        <v>89.78</v>
      </c>
      <c r="D86" s="18">
        <v>12</v>
      </c>
      <c r="E86" s="18">
        <v>1</v>
      </c>
      <c r="G86" s="7"/>
      <c r="H86" s="5"/>
    </row>
    <row r="87" spans="1:8" x14ac:dyDescent="0.2">
      <c r="A87" s="2">
        <v>12550987</v>
      </c>
      <c r="B87" s="2" t="s">
        <v>149</v>
      </c>
      <c r="C87" s="2">
        <v>18.750833333333333</v>
      </c>
      <c r="D87" s="18">
        <v>144</v>
      </c>
      <c r="E87" s="18">
        <v>12</v>
      </c>
      <c r="G87" s="7"/>
      <c r="H87" s="5"/>
    </row>
    <row r="88" spans="1:8" x14ac:dyDescent="0.2">
      <c r="A88" s="2">
        <v>12520257</v>
      </c>
      <c r="B88" s="2" t="s">
        <v>150</v>
      </c>
      <c r="C88" s="2">
        <v>105.82</v>
      </c>
      <c r="D88" s="18">
        <v>32</v>
      </c>
      <c r="E88" s="18">
        <v>1</v>
      </c>
      <c r="G88" s="7"/>
      <c r="H88" s="5"/>
    </row>
    <row r="89" spans="1:8" x14ac:dyDescent="0.2">
      <c r="A89" s="2">
        <v>50433</v>
      </c>
      <c r="B89" s="2" t="s">
        <v>154</v>
      </c>
      <c r="C89" s="2">
        <v>650.45083333333332</v>
      </c>
      <c r="D89" s="18">
        <v>1</v>
      </c>
      <c r="E89" s="18">
        <v>1</v>
      </c>
      <c r="G89" s="7"/>
      <c r="H89" s="5"/>
    </row>
    <row r="90" spans="1:8" x14ac:dyDescent="0.2">
      <c r="A90" s="2">
        <v>31711</v>
      </c>
      <c r="B90" s="2" t="s">
        <v>780</v>
      </c>
      <c r="C90" s="2">
        <v>153.11600000000001</v>
      </c>
      <c r="D90" s="19">
        <v>1</v>
      </c>
      <c r="E90" s="19">
        <v>1</v>
      </c>
    </row>
    <row r="91" spans="1:8" x14ac:dyDescent="0.2">
      <c r="A91" s="2">
        <v>43564</v>
      </c>
      <c r="B91" s="2" t="s">
        <v>97</v>
      </c>
      <c r="C91" s="2">
        <v>67.27</v>
      </c>
      <c r="D91" s="2">
        <v>1</v>
      </c>
      <c r="E91" s="2">
        <v>1</v>
      </c>
    </row>
    <row r="92" spans="1:8" x14ac:dyDescent="0.2">
      <c r="A92" s="2">
        <v>12436421</v>
      </c>
      <c r="B92" s="2" t="s">
        <v>6</v>
      </c>
      <c r="C92" s="2">
        <v>10.7475</v>
      </c>
      <c r="D92" s="2">
        <v>192</v>
      </c>
      <c r="E92" s="2">
        <v>8</v>
      </c>
    </row>
    <row r="93" spans="1:8" x14ac:dyDescent="0.2">
      <c r="A93" s="2">
        <v>12452538</v>
      </c>
      <c r="B93" s="2" t="s">
        <v>625</v>
      </c>
      <c r="C93" s="2">
        <v>14.773</v>
      </c>
      <c r="D93" s="19">
        <v>60</v>
      </c>
      <c r="E93" s="19">
        <v>1</v>
      </c>
    </row>
    <row r="94" spans="1:8" x14ac:dyDescent="0.2">
      <c r="A94" s="2">
        <v>12454174</v>
      </c>
      <c r="B94" s="2" t="s">
        <v>40</v>
      </c>
      <c r="C94" s="2">
        <v>23.401</v>
      </c>
      <c r="D94" s="2">
        <v>32</v>
      </c>
      <c r="E94" s="2">
        <v>1</v>
      </c>
    </row>
    <row r="95" spans="1:8" x14ac:dyDescent="0.2">
      <c r="A95" s="2">
        <v>12458241</v>
      </c>
      <c r="B95" s="2" t="s">
        <v>116</v>
      </c>
      <c r="C95" s="2">
        <v>26.731999999999999</v>
      </c>
      <c r="D95" s="2">
        <v>32</v>
      </c>
      <c r="E95" s="2">
        <v>1</v>
      </c>
    </row>
    <row r="96" spans="1:8" x14ac:dyDescent="0.2">
      <c r="A96" s="2">
        <v>12473150</v>
      </c>
      <c r="B96" s="2" t="s">
        <v>145</v>
      </c>
      <c r="C96" s="2">
        <v>133.60499999999999</v>
      </c>
      <c r="D96" s="19">
        <v>6</v>
      </c>
      <c r="E96" s="19">
        <v>1</v>
      </c>
    </row>
    <row r="97" spans="1:5" x14ac:dyDescent="0.2">
      <c r="A97" s="2">
        <v>12528208</v>
      </c>
      <c r="B97" s="2" t="s">
        <v>8</v>
      </c>
      <c r="C97" s="2">
        <v>43.285833333333329</v>
      </c>
      <c r="D97" s="2">
        <v>72</v>
      </c>
      <c r="E97" s="2">
        <v>4</v>
      </c>
    </row>
    <row r="98" spans="1:5" x14ac:dyDescent="0.2">
      <c r="A98" s="2">
        <v>12528213</v>
      </c>
      <c r="B98" s="2" t="s">
        <v>4</v>
      </c>
      <c r="C98" s="2">
        <v>239.51</v>
      </c>
      <c r="D98" s="2">
        <v>14</v>
      </c>
      <c r="E98" s="2">
        <v>1</v>
      </c>
    </row>
    <row r="99" spans="1:5" x14ac:dyDescent="0.2">
      <c r="A99" s="2">
        <v>12528224</v>
      </c>
      <c r="B99" s="2" t="s">
        <v>5</v>
      </c>
      <c r="C99" s="2">
        <v>288.57</v>
      </c>
      <c r="D99" s="2">
        <v>14</v>
      </c>
      <c r="E99" s="2">
        <v>1</v>
      </c>
    </row>
    <row r="100" spans="1:5" x14ac:dyDescent="0.2">
      <c r="A100" s="2">
        <v>12536218</v>
      </c>
      <c r="B100" s="2" t="s">
        <v>0</v>
      </c>
      <c r="C100" s="2">
        <v>10.746500000000001</v>
      </c>
      <c r="D100" s="2">
        <v>192</v>
      </c>
      <c r="E100" s="2">
        <v>8</v>
      </c>
    </row>
    <row r="101" spans="1:5" x14ac:dyDescent="0.2">
      <c r="A101" s="2">
        <v>12555739</v>
      </c>
      <c r="B101" s="2" t="s">
        <v>277</v>
      </c>
      <c r="C101" s="2">
        <v>26.733333333333334</v>
      </c>
      <c r="D101" s="19">
        <v>32</v>
      </c>
      <c r="E101" s="19">
        <v>1</v>
      </c>
    </row>
    <row r="102" spans="1:5" x14ac:dyDescent="0.2">
      <c r="A102" s="2">
        <v>12560528</v>
      </c>
      <c r="B102" s="2" t="s">
        <v>26</v>
      </c>
      <c r="C102" s="2">
        <v>67.284999999999997</v>
      </c>
      <c r="D102" s="2">
        <v>40</v>
      </c>
      <c r="E102" s="2">
        <v>1</v>
      </c>
    </row>
    <row r="103" spans="1:5" x14ac:dyDescent="0.2">
      <c r="A103" s="2">
        <v>12560593</v>
      </c>
      <c r="B103" s="2" t="s">
        <v>42</v>
      </c>
      <c r="C103" s="2">
        <v>67.935000000000002</v>
      </c>
      <c r="D103" s="2">
        <v>40</v>
      </c>
      <c r="E103" s="2">
        <v>1</v>
      </c>
    </row>
    <row r="104" spans="1:5" x14ac:dyDescent="0.2">
      <c r="A104" s="2">
        <v>12560753</v>
      </c>
      <c r="B104" s="2" t="s">
        <v>35</v>
      </c>
      <c r="C104" s="2">
        <v>67.935000000000002</v>
      </c>
      <c r="D104" s="2">
        <v>40</v>
      </c>
      <c r="E104" s="2">
        <v>1</v>
      </c>
    </row>
    <row r="105" spans="1:5" x14ac:dyDescent="0.2">
      <c r="A105" s="2">
        <v>12575065</v>
      </c>
      <c r="B105" s="2" t="s">
        <v>127</v>
      </c>
      <c r="C105" s="2">
        <v>258.48333333333335</v>
      </c>
      <c r="D105" s="2">
        <v>18</v>
      </c>
      <c r="E105" s="2">
        <v>1</v>
      </c>
    </row>
    <row r="106" spans="1:5" x14ac:dyDescent="0.2">
      <c r="A106" s="2">
        <v>12575074</v>
      </c>
      <c r="B106" s="2" t="s">
        <v>229</v>
      </c>
      <c r="C106" s="2">
        <v>229.76</v>
      </c>
      <c r="D106" s="19">
        <v>18</v>
      </c>
      <c r="E106" s="19">
        <v>1</v>
      </c>
    </row>
    <row r="107" spans="1:5" x14ac:dyDescent="0.2">
      <c r="A107" s="2">
        <v>12575101</v>
      </c>
      <c r="B107" s="2" t="s">
        <v>9</v>
      </c>
      <c r="C107" s="2">
        <v>239.33800000000002</v>
      </c>
      <c r="D107" s="2">
        <v>18</v>
      </c>
      <c r="E107" s="2">
        <v>1</v>
      </c>
    </row>
    <row r="108" spans="1:5" x14ac:dyDescent="0.2">
      <c r="A108" s="2">
        <v>12589940</v>
      </c>
      <c r="B108" s="2" t="s">
        <v>81</v>
      </c>
      <c r="C108" s="2">
        <v>182.76750000000001</v>
      </c>
      <c r="D108" s="2">
        <v>18</v>
      </c>
      <c r="E108" s="2">
        <v>1</v>
      </c>
    </row>
    <row r="109" spans="1:5" x14ac:dyDescent="0.2">
      <c r="A109" s="2">
        <v>12592164</v>
      </c>
      <c r="B109" s="2" t="s">
        <v>11</v>
      </c>
      <c r="C109" s="2">
        <v>1.905</v>
      </c>
      <c r="D109" s="2">
        <v>960</v>
      </c>
      <c r="E109" s="2">
        <v>48</v>
      </c>
    </row>
    <row r="110" spans="1:5" x14ac:dyDescent="0.2">
      <c r="A110" s="2">
        <v>12592549</v>
      </c>
      <c r="B110" s="2" t="s">
        <v>38</v>
      </c>
      <c r="C110" s="2">
        <v>67.962499999999991</v>
      </c>
      <c r="D110" s="2">
        <v>24</v>
      </c>
      <c r="E110" s="2">
        <v>1</v>
      </c>
    </row>
    <row r="111" spans="1:5" x14ac:dyDescent="0.2">
      <c r="A111" s="2">
        <v>12599975</v>
      </c>
      <c r="B111" s="2" t="s">
        <v>236</v>
      </c>
      <c r="C111" s="2">
        <v>107.46400000000001</v>
      </c>
      <c r="D111" s="19">
        <v>17</v>
      </c>
      <c r="E111" s="19">
        <v>1</v>
      </c>
    </row>
    <row r="112" spans="1:5" x14ac:dyDescent="0.2">
      <c r="A112" s="2">
        <v>12603511</v>
      </c>
      <c r="B112" s="2" t="s">
        <v>273</v>
      </c>
      <c r="C112" s="2">
        <v>8.1560000000000006</v>
      </c>
      <c r="D112" s="19">
        <v>192</v>
      </c>
      <c r="E112" s="19">
        <v>8</v>
      </c>
    </row>
    <row r="113" spans="1:5" x14ac:dyDescent="0.2">
      <c r="A113" s="2">
        <v>12604367</v>
      </c>
      <c r="B113" s="2" t="s">
        <v>82</v>
      </c>
      <c r="C113" s="2">
        <v>8.278666666666668</v>
      </c>
      <c r="D113" s="2">
        <v>240</v>
      </c>
      <c r="E113" s="2">
        <v>10</v>
      </c>
    </row>
    <row r="114" spans="1:5" x14ac:dyDescent="0.2">
      <c r="A114" s="2">
        <v>12604368</v>
      </c>
      <c r="B114" s="2" t="s">
        <v>74</v>
      </c>
      <c r="C114" s="2">
        <v>13.4536</v>
      </c>
      <c r="D114" s="2">
        <v>200</v>
      </c>
      <c r="E114" s="2">
        <v>10</v>
      </c>
    </row>
    <row r="115" spans="1:5" x14ac:dyDescent="0.2">
      <c r="A115" s="2">
        <v>12604369</v>
      </c>
      <c r="B115" s="2" t="s">
        <v>316</v>
      </c>
      <c r="C115" s="2">
        <v>13.4536</v>
      </c>
      <c r="D115" s="19">
        <v>200</v>
      </c>
      <c r="E115" s="19">
        <v>10</v>
      </c>
    </row>
    <row r="116" spans="1:5" x14ac:dyDescent="0.2">
      <c r="A116" s="2">
        <v>12604377</v>
      </c>
      <c r="B116" s="2" t="s">
        <v>93</v>
      </c>
      <c r="C116" s="2">
        <v>13.453999999999999</v>
      </c>
      <c r="D116" s="2">
        <v>200</v>
      </c>
      <c r="E116" s="2">
        <v>10</v>
      </c>
    </row>
    <row r="117" spans="1:5" x14ac:dyDescent="0.2">
      <c r="A117" s="2">
        <v>12604416</v>
      </c>
      <c r="B117" s="2" t="s">
        <v>146</v>
      </c>
      <c r="C117" s="2">
        <v>7.4450000000000003</v>
      </c>
      <c r="D117" s="19">
        <v>520</v>
      </c>
      <c r="E117" s="19">
        <v>10</v>
      </c>
    </row>
    <row r="118" spans="1:5" x14ac:dyDescent="0.2">
      <c r="A118" s="2">
        <v>12604418</v>
      </c>
      <c r="B118" s="2" t="s">
        <v>87</v>
      </c>
      <c r="C118" s="2">
        <v>8.278666666666668</v>
      </c>
      <c r="D118" s="2">
        <v>240</v>
      </c>
      <c r="E118" s="2">
        <v>10</v>
      </c>
    </row>
    <row r="119" spans="1:5" x14ac:dyDescent="0.2">
      <c r="A119" s="2">
        <v>12608916</v>
      </c>
      <c r="B119" s="2" t="s">
        <v>16</v>
      </c>
      <c r="C119" s="2">
        <v>184.0675</v>
      </c>
      <c r="D119" s="2">
        <v>20</v>
      </c>
      <c r="E119" s="2">
        <v>1</v>
      </c>
    </row>
    <row r="120" spans="1:5" x14ac:dyDescent="0.2">
      <c r="A120" s="2">
        <v>12612370</v>
      </c>
      <c r="B120" s="2" t="s">
        <v>88</v>
      </c>
      <c r="C120" s="2">
        <v>13.531666666666666</v>
      </c>
      <c r="D120" s="2">
        <v>60</v>
      </c>
      <c r="E120" s="2">
        <v>1</v>
      </c>
    </row>
    <row r="121" spans="1:5" x14ac:dyDescent="0.2">
      <c r="A121" s="2">
        <v>12613402</v>
      </c>
      <c r="B121" s="2" t="s">
        <v>73</v>
      </c>
      <c r="C121" s="2">
        <v>3.0533333333333332</v>
      </c>
      <c r="D121" s="19">
        <v>1008</v>
      </c>
      <c r="E121" s="2">
        <v>48</v>
      </c>
    </row>
    <row r="122" spans="1:5" x14ac:dyDescent="0.2">
      <c r="A122" s="2">
        <v>12614144</v>
      </c>
      <c r="B122" s="2" t="s">
        <v>89</v>
      </c>
      <c r="C122" s="2">
        <v>50.933999999999997</v>
      </c>
      <c r="D122" s="2">
        <v>60</v>
      </c>
      <c r="E122" s="2">
        <v>1</v>
      </c>
    </row>
    <row r="123" spans="1:5" x14ac:dyDescent="0.2">
      <c r="A123" s="2">
        <v>12618906</v>
      </c>
      <c r="B123" s="2" t="s">
        <v>105</v>
      </c>
      <c r="C123" s="2">
        <v>118.49000000000001</v>
      </c>
      <c r="D123" s="2">
        <v>6</v>
      </c>
      <c r="E123" s="2">
        <v>1</v>
      </c>
    </row>
    <row r="124" spans="1:5" x14ac:dyDescent="0.2">
      <c r="A124" s="2">
        <v>12618913</v>
      </c>
      <c r="B124" s="2" t="s">
        <v>275</v>
      </c>
      <c r="C124" s="2">
        <v>85.223333333333329</v>
      </c>
      <c r="D124" s="19">
        <v>9</v>
      </c>
      <c r="E124" s="19">
        <v>1</v>
      </c>
    </row>
    <row r="125" spans="1:5" x14ac:dyDescent="0.2">
      <c r="A125" s="2">
        <v>12623528</v>
      </c>
      <c r="B125" s="2" t="s">
        <v>274</v>
      </c>
      <c r="C125" s="2">
        <v>14.068000000000001</v>
      </c>
      <c r="D125" s="2">
        <v>192</v>
      </c>
      <c r="E125" s="2">
        <v>8</v>
      </c>
    </row>
    <row r="126" spans="1:5" x14ac:dyDescent="0.2">
      <c r="A126" s="2">
        <v>12629431</v>
      </c>
      <c r="B126" s="2" t="s">
        <v>83</v>
      </c>
      <c r="C126" s="2">
        <v>124.40666666666668</v>
      </c>
      <c r="D126" s="2">
        <v>30</v>
      </c>
      <c r="E126" s="2">
        <v>1</v>
      </c>
    </row>
    <row r="127" spans="1:5" x14ac:dyDescent="0.2">
      <c r="A127" s="2">
        <v>13123548</v>
      </c>
      <c r="B127" s="2" t="s">
        <v>109</v>
      </c>
      <c r="C127" s="2">
        <v>96.325000000000003</v>
      </c>
      <c r="D127" s="2">
        <v>42</v>
      </c>
      <c r="E127" s="2">
        <v>1</v>
      </c>
    </row>
    <row r="128" spans="1:5" x14ac:dyDescent="0.2">
      <c r="A128" s="2">
        <v>13176910</v>
      </c>
      <c r="B128" s="2" t="s">
        <v>103</v>
      </c>
      <c r="C128" s="2">
        <v>94.995000000000005</v>
      </c>
      <c r="D128" s="2">
        <v>19</v>
      </c>
      <c r="E128" s="2">
        <v>1</v>
      </c>
    </row>
    <row r="129" spans="1:5" x14ac:dyDescent="0.2">
      <c r="A129" s="2">
        <v>14037789</v>
      </c>
      <c r="B129" s="2" t="s">
        <v>713</v>
      </c>
      <c r="C129" s="2">
        <v>134.53</v>
      </c>
      <c r="D129" s="19">
        <v>16</v>
      </c>
      <c r="E129" s="19">
        <v>1</v>
      </c>
    </row>
    <row r="130" spans="1:5" x14ac:dyDescent="0.2">
      <c r="A130" s="2">
        <v>14038791</v>
      </c>
      <c r="B130" s="2" t="s">
        <v>113</v>
      </c>
      <c r="C130" s="2">
        <v>114.33599999999998</v>
      </c>
      <c r="D130" s="2">
        <v>20</v>
      </c>
      <c r="E130" s="2">
        <v>1</v>
      </c>
    </row>
    <row r="131" spans="1:5" x14ac:dyDescent="0.2">
      <c r="A131" s="2">
        <v>14471625</v>
      </c>
      <c r="B131" s="2" t="s">
        <v>781</v>
      </c>
      <c r="C131" s="2">
        <v>95.2</v>
      </c>
      <c r="D131" s="19">
        <v>24</v>
      </c>
      <c r="E131" s="19">
        <v>1</v>
      </c>
    </row>
  </sheetData>
  <phoneticPr fontId="6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Computation</vt:lpstr>
      <vt:lpstr>LineItems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FDC SAMAR</cp:lastModifiedBy>
  <dcterms:created xsi:type="dcterms:W3CDTF">2024-11-24T01:43:44Z</dcterms:created>
  <dcterms:modified xsi:type="dcterms:W3CDTF">2026-04-08T01:51:19Z</dcterms:modified>
</cp:coreProperties>
</file>