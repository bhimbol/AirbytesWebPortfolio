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INT" sheetId="2" state="visible" r:id="rId2"/>
    <sheet xmlns:r="http://schemas.openxmlformats.org/officeDocument/2006/relationships" name="COMPARISON" sheetId="3" state="visible" r:id="rId3"/>
  </sheets>
  <definedNames>
    <definedName name="_xlnm._FilterDatabase" localSheetId="1" hidden="1">'PRINT'!$A$4:$H$4</definedName>
    <definedName name="_xlnm.Print_Titles" localSheetId="1">'PRINT'!$1:$4</definedName>
    <definedName name="_xlnm.Print_Area" localSheetId="1">'PRINT'!$A:$G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3409]dd\-mmm\-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165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tabSelected="1" topLeftCell="M1" workbookViewId="0">
      <selection activeCell="O13" sqref="O13"/>
    </sheetView>
  </sheetViews>
  <sheetFormatPr baseColWidth="8" defaultColWidth="25.5703125" defaultRowHeight="15"/>
  <cols>
    <col width="25.5703125" customWidth="1" style="6" min="7" max="7"/>
  </cols>
  <sheetData>
    <row r="1">
      <c r="A1" t="inlineStr">
        <is>
          <t>Ship To</t>
        </is>
      </c>
      <c r="B1" t="inlineStr">
        <is>
          <t>Ship To Name</t>
        </is>
      </c>
      <c r="C1" t="inlineStr">
        <is>
          <t>Purchase Order Number</t>
        </is>
      </c>
      <c r="D1" t="inlineStr">
        <is>
          <t>Sales Order</t>
        </is>
      </c>
      <c r="E1" t="inlineStr">
        <is>
          <t>Requested Delivery Date</t>
        </is>
      </c>
      <c r="F1" t="inlineStr">
        <is>
          <t>SYSPRO Purchase Order</t>
        </is>
      </c>
      <c r="G1" t="inlineStr">
        <is>
          <t>Line Number</t>
        </is>
      </c>
      <c r="H1" t="inlineStr">
        <is>
          <t>Warehouse</t>
        </is>
      </c>
      <c r="I1" t="inlineStr">
        <is>
          <t>Material</t>
        </is>
      </c>
      <c r="J1" t="inlineStr">
        <is>
          <t>Material Description</t>
        </is>
      </c>
      <c r="K1" t="inlineStr">
        <is>
          <t>Delivery Quantity</t>
        </is>
      </c>
      <c r="L1" t="inlineStr">
        <is>
          <t>Delivery Unit</t>
        </is>
      </c>
      <c r="M1" t="inlineStr">
        <is>
          <t>Bin Location</t>
        </is>
      </c>
      <c r="N1" t="inlineStr">
        <is>
          <t>Batch Code</t>
        </is>
      </c>
      <c r="O1" t="inlineStr">
        <is>
          <t>Batch Expiration Date</t>
        </is>
      </c>
      <c r="P1" t="inlineStr">
        <is>
          <t>Reference/GRN</t>
        </is>
      </c>
      <c r="Q1" t="inlineStr">
        <is>
          <t>Receipt Date</t>
        </is>
      </c>
      <c r="R1" t="inlineStr">
        <is>
          <t>Batch Status</t>
        </is>
      </c>
      <c r="S1" t="inlineStr">
        <is>
          <t>Expected Release Date</t>
        </is>
      </c>
    </row>
    <row r="2">
      <c r="A2" t="inlineStr">
        <is>
          <t xml:space="preserve">5432038   </t>
        </is>
      </c>
      <c r="B2" t="inlineStr">
        <is>
          <t xml:space="preserve">Fast Distribution Corporation      </t>
        </is>
      </c>
      <c r="C2" t="inlineStr">
        <is>
          <t xml:space="preserve">GBOR22024Wk8PD1NST1                </t>
        </is>
      </c>
      <c r="D2" t="n">
        <v>4064824610</v>
      </c>
      <c r="E2" t="n">
        <v>45342</v>
      </c>
      <c r="F2" t="inlineStr"/>
      <c r="G2" t="inlineStr"/>
      <c r="H2" t="inlineStr"/>
      <c r="I2" t="n">
        <v>12584775</v>
      </c>
      <c r="J2" t="inlineStr">
        <is>
          <t xml:space="preserve">NESTEA Apple 24(6x20g) PR 5+1 PH        </t>
        </is>
      </c>
      <c r="K2" t="n">
        <v>2</v>
      </c>
      <c r="L2" t="inlineStr">
        <is>
          <t xml:space="preserve">CS </t>
        </is>
      </c>
      <c r="M2" t="inlineStr"/>
      <c r="N2" t="inlineStr">
        <is>
          <t>40290604E1</t>
        </is>
      </c>
      <c r="O2" t="n">
        <v>45688</v>
      </c>
      <c r="P2" t="inlineStr"/>
      <c r="Q2" t="inlineStr"/>
      <c r="R2" t="inlineStr">
        <is>
          <t xml:space="preserve"> </t>
        </is>
      </c>
      <c r="S2" t="inlineStr"/>
    </row>
    <row r="3">
      <c r="A3" t="inlineStr">
        <is>
          <t xml:space="preserve">5432038   </t>
        </is>
      </c>
      <c r="B3" t="inlineStr">
        <is>
          <t xml:space="preserve">Fast Distribution Corporation      </t>
        </is>
      </c>
      <c r="C3" t="inlineStr">
        <is>
          <t xml:space="preserve">GBOR22024Wk8PD1NST1                </t>
        </is>
      </c>
      <c r="D3" t="n">
        <v>4064824610</v>
      </c>
      <c r="E3" t="n">
        <v>45342</v>
      </c>
      <c r="F3" t="inlineStr"/>
      <c r="G3" t="inlineStr"/>
      <c r="H3" t="inlineStr"/>
      <c r="I3" t="n">
        <v>12584786</v>
      </c>
      <c r="J3" t="inlineStr">
        <is>
          <t xml:space="preserve">NESTEA Lemon 24(6x20g) PR 5+1 PH        </t>
        </is>
      </c>
      <c r="K3" t="n">
        <v>2</v>
      </c>
      <c r="L3" t="inlineStr">
        <is>
          <t xml:space="preserve">CS </t>
        </is>
      </c>
      <c r="M3" t="inlineStr"/>
      <c r="N3" t="inlineStr">
        <is>
          <t>40360604F1</t>
        </is>
      </c>
      <c r="O3" t="n">
        <v>45716</v>
      </c>
      <c r="P3" t="inlineStr"/>
      <c r="Q3" t="inlineStr"/>
      <c r="R3" t="inlineStr">
        <is>
          <t xml:space="preserve"> </t>
        </is>
      </c>
      <c r="S3" t="inlineStr"/>
    </row>
    <row r="4">
      <c r="A4" t="inlineStr">
        <is>
          <t xml:space="preserve">5432038   </t>
        </is>
      </c>
      <c r="B4" t="inlineStr">
        <is>
          <t xml:space="preserve">Fast Distribution Corporation      </t>
        </is>
      </c>
      <c r="C4" t="inlineStr">
        <is>
          <t xml:space="preserve">GBOR22024Wk8PD1NST1                </t>
        </is>
      </c>
      <c r="D4" t="n">
        <v>4064824610</v>
      </c>
      <c r="E4" t="n">
        <v>45342</v>
      </c>
      <c r="F4" t="inlineStr"/>
      <c r="G4" t="inlineStr"/>
      <c r="H4" t="inlineStr"/>
      <c r="I4" t="n">
        <v>12537538</v>
      </c>
      <c r="J4" t="inlineStr">
        <is>
          <t xml:space="preserve">NESTEA Lemon 12(12x20g) PRFrPitcher PH  </t>
        </is>
      </c>
      <c r="K4" t="n">
        <v>2</v>
      </c>
      <c r="L4" t="inlineStr">
        <is>
          <t xml:space="preserve">CS </t>
        </is>
      </c>
      <c r="M4" t="inlineStr"/>
      <c r="N4" t="inlineStr">
        <is>
          <t>40200604F2</t>
        </is>
      </c>
      <c r="O4" t="n">
        <v>45688</v>
      </c>
      <c r="P4" t="inlineStr"/>
      <c r="Q4" t="inlineStr"/>
      <c r="R4" t="inlineStr">
        <is>
          <t xml:space="preserve"> </t>
        </is>
      </c>
      <c r="S4" t="inlineStr"/>
    </row>
    <row r="5">
      <c r="A5" t="inlineStr">
        <is>
          <t xml:space="preserve">5432038   </t>
        </is>
      </c>
      <c r="B5" t="inlineStr">
        <is>
          <t xml:space="preserve">Fast Distribution Corporation      </t>
        </is>
      </c>
      <c r="C5" t="inlineStr">
        <is>
          <t xml:space="preserve">GBOR22024Wk8PD1NST1                </t>
        </is>
      </c>
      <c r="D5" t="n">
        <v>4064824610</v>
      </c>
      <c r="E5" t="n">
        <v>45342</v>
      </c>
      <c r="F5" t="inlineStr"/>
      <c r="G5" t="inlineStr"/>
      <c r="H5" t="inlineStr"/>
      <c r="I5" t="n">
        <v>12538256</v>
      </c>
      <c r="J5" t="inlineStr">
        <is>
          <t xml:space="preserve">NESTEA Apple 12(12x20g) PRFrPitcher PH  </t>
        </is>
      </c>
      <c r="K5" t="n">
        <v>3</v>
      </c>
      <c r="L5" t="inlineStr">
        <is>
          <t xml:space="preserve">CS </t>
        </is>
      </c>
      <c r="M5" t="inlineStr"/>
      <c r="N5" t="inlineStr">
        <is>
          <t>40260604E2</t>
        </is>
      </c>
      <c r="O5" t="n">
        <v>45688</v>
      </c>
      <c r="P5" t="inlineStr"/>
      <c r="Q5" t="inlineStr"/>
      <c r="R5" t="inlineStr">
        <is>
          <t xml:space="preserve"> </t>
        </is>
      </c>
      <c r="S5" t="inlineStr"/>
    </row>
    <row r="6">
      <c r="A6" t="inlineStr">
        <is>
          <t>Ship To</t>
        </is>
      </c>
      <c r="B6" t="inlineStr">
        <is>
          <t>Ship To Name</t>
        </is>
      </c>
      <c r="C6" t="inlineStr">
        <is>
          <t>Purchase Order Number</t>
        </is>
      </c>
      <c r="D6" t="inlineStr">
        <is>
          <t>Sales Order</t>
        </is>
      </c>
      <c r="E6" t="inlineStr">
        <is>
          <t>Requested Delivery Date</t>
        </is>
      </c>
      <c r="F6" t="inlineStr">
        <is>
          <t>SYSPRO Purchase Order</t>
        </is>
      </c>
      <c r="G6" t="inlineStr">
        <is>
          <t>Line Number</t>
        </is>
      </c>
      <c r="H6" t="inlineStr">
        <is>
          <t>Warehouse</t>
        </is>
      </c>
      <c r="I6" t="inlineStr">
        <is>
          <t>Material</t>
        </is>
      </c>
      <c r="J6" t="inlineStr">
        <is>
          <t>Material Description</t>
        </is>
      </c>
      <c r="K6" t="inlineStr">
        <is>
          <t>Delivery Quantity</t>
        </is>
      </c>
      <c r="L6" t="inlineStr">
        <is>
          <t>Delivery Unit</t>
        </is>
      </c>
      <c r="M6" t="inlineStr">
        <is>
          <t>Bin Location</t>
        </is>
      </c>
      <c r="N6" t="inlineStr">
        <is>
          <t>Batch Code</t>
        </is>
      </c>
      <c r="O6" t="inlineStr">
        <is>
          <t>Batch Expiration Date</t>
        </is>
      </c>
      <c r="P6" t="inlineStr">
        <is>
          <t>Reference/GRN</t>
        </is>
      </c>
      <c r="Q6" t="inlineStr">
        <is>
          <t>Receipt Date</t>
        </is>
      </c>
      <c r="R6" t="inlineStr">
        <is>
          <t>Batch Status</t>
        </is>
      </c>
      <c r="S6" t="inlineStr">
        <is>
          <t>Expected Release Date</t>
        </is>
      </c>
    </row>
    <row r="7">
      <c r="A7" t="inlineStr">
        <is>
          <t xml:space="preserve">5432038   </t>
        </is>
      </c>
      <c r="B7" t="inlineStr">
        <is>
          <t xml:space="preserve">Fast Distribution Corporation      </t>
        </is>
      </c>
      <c r="C7" t="inlineStr">
        <is>
          <t xml:space="preserve">GBOR21324PLMXS7                    </t>
        </is>
      </c>
      <c r="D7" t="n">
        <v>4064969826</v>
      </c>
      <c r="E7" t="n">
        <v>45342</v>
      </c>
      <c r="F7" t="inlineStr"/>
      <c r="G7" t="inlineStr"/>
      <c r="H7" t="inlineStr"/>
      <c r="I7" t="n">
        <v>12531347</v>
      </c>
      <c r="J7" t="inlineStr">
        <is>
          <t xml:space="preserve">NESCAFE Creamylatte Twinpack 200x51g PH </t>
        </is>
      </c>
      <c r="K7" t="n">
        <v>0</v>
      </c>
      <c r="L7" t="inlineStr">
        <is>
          <t xml:space="preserve">CS </t>
        </is>
      </c>
      <c r="M7" t="inlineStr"/>
      <c r="N7" t="inlineStr">
        <is>
          <t xml:space="preserve">          </t>
        </is>
      </c>
      <c r="O7" t="inlineStr"/>
      <c r="P7" t="inlineStr"/>
      <c r="Q7" t="inlineStr"/>
      <c r="R7" t="inlineStr">
        <is>
          <t xml:space="preserve"> </t>
        </is>
      </c>
      <c r="S7" t="inlineStr"/>
    </row>
    <row r="8">
      <c r="A8" t="inlineStr">
        <is>
          <t xml:space="preserve">5432038   </t>
        </is>
      </c>
      <c r="B8" t="inlineStr">
        <is>
          <t xml:space="preserve">Fast Distribution Corporation      </t>
        </is>
      </c>
      <c r="C8" t="inlineStr">
        <is>
          <t xml:space="preserve">GBOR21324PLMXS7                    </t>
        </is>
      </c>
      <c r="D8" t="n">
        <v>4064969826</v>
      </c>
      <c r="E8" t="n">
        <v>45342</v>
      </c>
      <c r="F8" t="inlineStr"/>
      <c r="G8" t="inlineStr"/>
      <c r="H8" t="inlineStr"/>
      <c r="I8" t="n">
        <v>12531347</v>
      </c>
      <c r="J8" t="inlineStr">
        <is>
          <t xml:space="preserve">NESCAFE Creamylatte Twinpack 200x51g PH </t>
        </is>
      </c>
      <c r="K8" t="n">
        <v>64</v>
      </c>
      <c r="L8" t="inlineStr">
        <is>
          <t xml:space="preserve">CS </t>
        </is>
      </c>
      <c r="M8" t="inlineStr"/>
      <c r="N8" t="inlineStr">
        <is>
          <t>40170597T1</t>
        </is>
      </c>
      <c r="O8" t="n">
        <v>45688</v>
      </c>
      <c r="P8" t="inlineStr"/>
      <c r="Q8" t="inlineStr"/>
      <c r="R8" t="inlineStr">
        <is>
          <t xml:space="preserve"> </t>
        </is>
      </c>
      <c r="S8" t="inlineStr"/>
    </row>
    <row r="9">
      <c r="A9" t="inlineStr">
        <is>
          <t xml:space="preserve">5432038   </t>
        </is>
      </c>
      <c r="B9" t="inlineStr">
        <is>
          <t xml:space="preserve">Fast Distribution Corporation      </t>
        </is>
      </c>
      <c r="C9" t="inlineStr">
        <is>
          <t xml:space="preserve">GBOR21324PLMXS7                    </t>
        </is>
      </c>
      <c r="D9" t="n">
        <v>4064969826</v>
      </c>
      <c r="E9" t="n">
        <v>45342</v>
      </c>
      <c r="F9" t="inlineStr"/>
      <c r="G9" t="inlineStr"/>
      <c r="H9" t="inlineStr"/>
      <c r="I9" t="n">
        <v>12531347</v>
      </c>
      <c r="J9" t="inlineStr">
        <is>
          <t xml:space="preserve">NESCAFE Creamylatte Twinpack 200x51g PH </t>
        </is>
      </c>
      <c r="K9" t="n">
        <v>26</v>
      </c>
      <c r="L9" t="inlineStr">
        <is>
          <t xml:space="preserve">CS </t>
        </is>
      </c>
      <c r="M9" t="inlineStr"/>
      <c r="N9" t="inlineStr">
        <is>
          <t>40170597U1</t>
        </is>
      </c>
      <c r="O9" t="n">
        <v>45688</v>
      </c>
      <c r="P9" t="inlineStr"/>
      <c r="Q9" t="inlineStr"/>
      <c r="R9" t="inlineStr">
        <is>
          <t xml:space="preserve"> </t>
        </is>
      </c>
      <c r="S9" t="inlineStr"/>
    </row>
    <row r="10">
      <c r="A10" t="inlineStr">
        <is>
          <t xml:space="preserve">5432038   </t>
        </is>
      </c>
      <c r="B10" t="inlineStr">
        <is>
          <t xml:space="preserve">Fast Distribution Corporation      </t>
        </is>
      </c>
      <c r="C10" t="inlineStr">
        <is>
          <t xml:space="preserve">GBOR21324PLMXS7                    </t>
        </is>
      </c>
      <c r="D10" t="n">
        <v>4064969826</v>
      </c>
      <c r="E10" t="n">
        <v>45342</v>
      </c>
      <c r="F10" t="inlineStr"/>
      <c r="G10" t="inlineStr"/>
      <c r="H10" t="inlineStr"/>
      <c r="I10" t="n">
        <v>12531347</v>
      </c>
      <c r="J10" t="inlineStr">
        <is>
          <t xml:space="preserve">NESCAFE Creamylatte Twinpack 200x51g PH </t>
        </is>
      </c>
      <c r="K10" t="n">
        <v>9</v>
      </c>
      <c r="L10" t="inlineStr">
        <is>
          <t xml:space="preserve">CS </t>
        </is>
      </c>
      <c r="M10" t="inlineStr"/>
      <c r="N10" t="inlineStr">
        <is>
          <t>40180597U1</t>
        </is>
      </c>
      <c r="O10" t="n">
        <v>45688</v>
      </c>
      <c r="P10" t="inlineStr"/>
      <c r="Q10" t="inlineStr"/>
      <c r="R10" t="inlineStr">
        <is>
          <t xml:space="preserve"> </t>
        </is>
      </c>
      <c r="S10" t="inlineStr"/>
    </row>
    <row r="11">
      <c r="A11" t="inlineStr">
        <is>
          <t xml:space="preserve">5432038   </t>
        </is>
      </c>
      <c r="B11" t="inlineStr">
        <is>
          <t xml:space="preserve">Fast Distribution Corporation      </t>
        </is>
      </c>
      <c r="C11" t="inlineStr">
        <is>
          <t xml:space="preserve">GBOR21324PLMXS7                    </t>
        </is>
      </c>
      <c r="D11" t="n">
        <v>4064969826</v>
      </c>
      <c r="E11" t="n">
        <v>45342</v>
      </c>
      <c r="F11" t="inlineStr"/>
      <c r="G11" t="inlineStr"/>
      <c r="H11" t="inlineStr"/>
      <c r="I11" t="n">
        <v>12531524</v>
      </c>
      <c r="J11" t="inlineStr">
        <is>
          <t>NESCAFE Creamy White Twinpack 200x51g PH</t>
        </is>
      </c>
      <c r="K11" t="n">
        <v>0</v>
      </c>
      <c r="L11" t="inlineStr">
        <is>
          <t xml:space="preserve">CS </t>
        </is>
      </c>
      <c r="M11" t="inlineStr"/>
      <c r="N11" t="inlineStr">
        <is>
          <t xml:space="preserve">          </t>
        </is>
      </c>
      <c r="O11" t="inlineStr"/>
      <c r="P11" t="inlineStr"/>
      <c r="Q11" t="inlineStr"/>
      <c r="R11" t="inlineStr">
        <is>
          <t xml:space="preserve"> </t>
        </is>
      </c>
      <c r="S11" t="inlineStr"/>
    </row>
    <row r="12">
      <c r="A12" t="inlineStr">
        <is>
          <t xml:space="preserve">5432038   </t>
        </is>
      </c>
      <c r="B12" t="inlineStr">
        <is>
          <t xml:space="preserve">Fast Distribution Corporation      </t>
        </is>
      </c>
      <c r="C12" t="inlineStr">
        <is>
          <t xml:space="preserve">GBOR21324PLMXS7                    </t>
        </is>
      </c>
      <c r="D12" t="n">
        <v>4064969826</v>
      </c>
      <c r="E12" t="n">
        <v>45342</v>
      </c>
      <c r="F12" t="inlineStr"/>
      <c r="G12" t="inlineStr"/>
      <c r="H12" t="inlineStr"/>
      <c r="I12" t="n">
        <v>12531524</v>
      </c>
      <c r="J12" t="inlineStr">
        <is>
          <t>NESCAFE Creamy White Twinpack 200x51g PH</t>
        </is>
      </c>
      <c r="K12" t="n">
        <v>11</v>
      </c>
      <c r="L12" t="inlineStr">
        <is>
          <t xml:space="preserve">CS </t>
        </is>
      </c>
      <c r="M12" t="inlineStr"/>
      <c r="N12" t="inlineStr">
        <is>
          <t>33390597E1</t>
        </is>
      </c>
      <c r="O12" t="n">
        <v>45657</v>
      </c>
      <c r="P12" t="inlineStr"/>
      <c r="Q12" t="inlineStr"/>
      <c r="R12" t="inlineStr">
        <is>
          <t xml:space="preserve"> </t>
        </is>
      </c>
      <c r="S12" t="inlineStr"/>
    </row>
    <row r="13">
      <c r="A13" t="inlineStr">
        <is>
          <t xml:space="preserve">5432038   </t>
        </is>
      </c>
      <c r="B13" t="inlineStr">
        <is>
          <t xml:space="preserve">Fast Distribution Corporation      </t>
        </is>
      </c>
      <c r="C13" t="inlineStr">
        <is>
          <t xml:space="preserve">GBOR21324PLMXS7                    </t>
        </is>
      </c>
      <c r="D13" t="n">
        <v>4064969826</v>
      </c>
      <c r="E13" t="n">
        <v>45342</v>
      </c>
      <c r="F13" t="inlineStr"/>
      <c r="G13" t="inlineStr"/>
      <c r="H13" t="inlineStr"/>
      <c r="I13" t="n">
        <v>12531524</v>
      </c>
      <c r="J13" t="inlineStr">
        <is>
          <t>NESCAFE Creamy White Twinpack 200x51g PH</t>
        </is>
      </c>
      <c r="K13" t="n">
        <v>31</v>
      </c>
      <c r="L13" t="inlineStr">
        <is>
          <t xml:space="preserve">CS </t>
        </is>
      </c>
      <c r="M13" t="inlineStr"/>
      <c r="N13" t="inlineStr">
        <is>
          <t>33540597F1</t>
        </is>
      </c>
      <c r="O13" t="n">
        <v>45657</v>
      </c>
      <c r="P13" t="inlineStr"/>
      <c r="Q13" t="inlineStr"/>
      <c r="R13" t="inlineStr">
        <is>
          <t xml:space="preserve"> </t>
        </is>
      </c>
      <c r="S13" t="inlineStr"/>
    </row>
    <row r="14">
      <c r="A14" t="inlineStr">
        <is>
          <t xml:space="preserve">5432038   </t>
        </is>
      </c>
      <c r="B14" t="inlineStr">
        <is>
          <t xml:space="preserve">Fast Distribution Corporation      </t>
        </is>
      </c>
      <c r="C14" t="inlineStr">
        <is>
          <t xml:space="preserve">GBOR21324PLMXS7                    </t>
        </is>
      </c>
      <c r="D14" t="n">
        <v>4064969826</v>
      </c>
      <c r="E14" t="n">
        <v>45342</v>
      </c>
      <c r="F14" t="inlineStr"/>
      <c r="G14" t="inlineStr"/>
      <c r="H14" t="inlineStr"/>
      <c r="I14" t="n">
        <v>12531524</v>
      </c>
      <c r="J14" t="inlineStr">
        <is>
          <t>NESCAFE Creamy White Twinpack 200x51g PH</t>
        </is>
      </c>
      <c r="K14" t="n">
        <v>109</v>
      </c>
      <c r="L14" t="inlineStr">
        <is>
          <t xml:space="preserve">CS </t>
        </is>
      </c>
      <c r="M14" t="inlineStr"/>
      <c r="N14" t="inlineStr">
        <is>
          <t>33610597U1</t>
        </is>
      </c>
      <c r="O14" t="n">
        <v>45657</v>
      </c>
      <c r="P14" t="inlineStr"/>
      <c r="Q14" t="inlineStr"/>
      <c r="R14" t="inlineStr">
        <is>
          <t xml:space="preserve"> </t>
        </is>
      </c>
      <c r="S14" t="inlineStr"/>
    </row>
    <row r="15">
      <c r="A15" t="inlineStr">
        <is>
          <t>Ship To</t>
        </is>
      </c>
      <c r="B15" t="inlineStr">
        <is>
          <t>Ship To Name</t>
        </is>
      </c>
      <c r="C15" t="inlineStr">
        <is>
          <t>Purchase Order Number</t>
        </is>
      </c>
      <c r="D15" t="inlineStr">
        <is>
          <t>Sales Order</t>
        </is>
      </c>
      <c r="E15" t="inlineStr">
        <is>
          <t>Requested Delivery Date</t>
        </is>
      </c>
      <c r="F15" t="inlineStr">
        <is>
          <t>SYSPRO Purchase Order</t>
        </is>
      </c>
      <c r="G15" t="inlineStr">
        <is>
          <t>Line Number</t>
        </is>
      </c>
      <c r="H15" t="inlineStr">
        <is>
          <t>Warehouse</t>
        </is>
      </c>
      <c r="I15" t="inlineStr">
        <is>
          <t>Material</t>
        </is>
      </c>
      <c r="J15" t="inlineStr">
        <is>
          <t>Material Description</t>
        </is>
      </c>
      <c r="K15" t="inlineStr">
        <is>
          <t>Delivery Quantity</t>
        </is>
      </c>
      <c r="L15" t="inlineStr">
        <is>
          <t>Delivery Unit</t>
        </is>
      </c>
      <c r="M15" t="inlineStr">
        <is>
          <t>Bin Location</t>
        </is>
      </c>
      <c r="N15" t="inlineStr">
        <is>
          <t>Batch Code</t>
        </is>
      </c>
      <c r="O15" t="inlineStr">
        <is>
          <t>Batch Expiration Date</t>
        </is>
      </c>
      <c r="P15" t="inlineStr">
        <is>
          <t>Reference/GRN</t>
        </is>
      </c>
      <c r="Q15" t="inlineStr">
        <is>
          <t>Receipt Date</t>
        </is>
      </c>
      <c r="R15" t="inlineStr">
        <is>
          <t>Batch Status</t>
        </is>
      </c>
      <c r="S15" t="inlineStr">
        <is>
          <t>Expected Release Date</t>
        </is>
      </c>
    </row>
    <row r="16">
      <c r="A16" t="inlineStr">
        <is>
          <t xml:space="preserve">5432038   </t>
        </is>
      </c>
      <c r="B16" t="inlineStr">
        <is>
          <t xml:space="preserve">Fast Distribution Corporation      </t>
        </is>
      </c>
      <c r="C16" t="inlineStr">
        <is>
          <t xml:space="preserve">GBOR21324CFM2                      </t>
        </is>
      </c>
      <c r="D16" t="n">
        <v>4064977532</v>
      </c>
      <c r="E16" t="n">
        <v>45342</v>
      </c>
      <c r="F16" t="inlineStr"/>
      <c r="G16" t="inlineStr"/>
      <c r="H16" t="inlineStr"/>
      <c r="I16" t="n">
        <v>12540289</v>
      </c>
      <c r="J16" t="inlineStr">
        <is>
          <t xml:space="preserve">COFFEE-MATE 72x80g PH                   </t>
        </is>
      </c>
      <c r="K16" t="n">
        <v>3</v>
      </c>
      <c r="L16" t="inlineStr">
        <is>
          <t xml:space="preserve">CS </t>
        </is>
      </c>
      <c r="M16" t="inlineStr"/>
      <c r="N16" t="inlineStr">
        <is>
          <t>4003643821</t>
        </is>
      </c>
      <c r="O16" t="n">
        <v>45777</v>
      </c>
      <c r="P16" t="inlineStr"/>
      <c r="Q16" t="inlineStr"/>
      <c r="R16" t="inlineStr">
        <is>
          <t xml:space="preserve"> </t>
        </is>
      </c>
      <c r="S16" t="inlineStr"/>
    </row>
    <row r="17">
      <c r="A17" t="inlineStr">
        <is>
          <t xml:space="preserve">5432038   </t>
        </is>
      </c>
      <c r="B17" t="inlineStr">
        <is>
          <t xml:space="preserve">Fast Distribution Corporation      </t>
        </is>
      </c>
      <c r="C17" t="inlineStr">
        <is>
          <t xml:space="preserve">GBOR21324CFM2                      </t>
        </is>
      </c>
      <c r="D17" t="n">
        <v>4064977532</v>
      </c>
      <c r="E17" t="n">
        <v>45342</v>
      </c>
      <c r="F17" t="inlineStr"/>
      <c r="G17" t="inlineStr"/>
      <c r="H17" t="inlineStr"/>
      <c r="I17" t="n">
        <v>12536823</v>
      </c>
      <c r="J17" t="inlineStr">
        <is>
          <t xml:space="preserve">COFFEE-MATE 60x150g PH                  </t>
        </is>
      </c>
      <c r="K17" t="n">
        <v>6</v>
      </c>
      <c r="L17" t="inlineStr">
        <is>
          <t xml:space="preserve">CS </t>
        </is>
      </c>
      <c r="M17" t="inlineStr"/>
      <c r="N17" t="inlineStr">
        <is>
          <t>4043643831</t>
        </is>
      </c>
      <c r="O17" t="n">
        <v>45808</v>
      </c>
      <c r="P17" t="inlineStr"/>
      <c r="Q17" t="inlineStr"/>
      <c r="R17" t="inlineStr">
        <is>
          <t xml:space="preserve"> </t>
        </is>
      </c>
      <c r="S17" t="inlineStr"/>
    </row>
    <row r="18">
      <c r="A18" t="inlineStr">
        <is>
          <t xml:space="preserve">5432038   </t>
        </is>
      </c>
      <c r="B18" t="inlineStr">
        <is>
          <t xml:space="preserve">Fast Distribution Corporation      </t>
        </is>
      </c>
      <c r="C18" t="inlineStr">
        <is>
          <t xml:space="preserve">GBOR21324CFM2                      </t>
        </is>
      </c>
      <c r="D18" t="n">
        <v>4064977532</v>
      </c>
      <c r="E18" t="n">
        <v>45342</v>
      </c>
      <c r="F18" t="inlineStr"/>
      <c r="G18" t="inlineStr"/>
      <c r="H18" t="inlineStr"/>
      <c r="I18" t="n">
        <v>12536774</v>
      </c>
      <c r="J18" t="inlineStr">
        <is>
          <t xml:space="preserve">COFFEE-MATE 40x220g PH                  </t>
        </is>
      </c>
      <c r="K18" t="n">
        <v>6</v>
      </c>
      <c r="L18" t="inlineStr">
        <is>
          <t xml:space="preserve">CS </t>
        </is>
      </c>
      <c r="M18" t="inlineStr"/>
      <c r="N18" t="inlineStr">
        <is>
          <t>4039643841</t>
        </is>
      </c>
      <c r="O18" t="n">
        <v>45808</v>
      </c>
      <c r="P18" t="inlineStr"/>
      <c r="Q18" t="inlineStr"/>
      <c r="R18" t="inlineStr">
        <is>
          <t xml:space="preserve"> </t>
        </is>
      </c>
      <c r="S18" t="inlineStr"/>
    </row>
    <row r="19">
      <c r="A19" t="inlineStr">
        <is>
          <t>Ship To</t>
        </is>
      </c>
      <c r="B19" t="inlineStr">
        <is>
          <t>Ship To Name</t>
        </is>
      </c>
      <c r="C19" t="inlineStr">
        <is>
          <t>Purchase Order Number</t>
        </is>
      </c>
      <c r="D19" t="inlineStr">
        <is>
          <t>Sales Order</t>
        </is>
      </c>
      <c r="E19" t="inlineStr">
        <is>
          <t>Requested Delivery Date</t>
        </is>
      </c>
      <c r="F19" t="inlineStr">
        <is>
          <t>SYSPRO Purchase Order</t>
        </is>
      </c>
      <c r="G19" t="inlineStr">
        <is>
          <t>Line Number</t>
        </is>
      </c>
      <c r="H19" t="inlineStr">
        <is>
          <t>Warehouse</t>
        </is>
      </c>
      <c r="I19" t="inlineStr">
        <is>
          <t>Material</t>
        </is>
      </c>
      <c r="J19" t="inlineStr">
        <is>
          <t>Material Description</t>
        </is>
      </c>
      <c r="K19" t="inlineStr">
        <is>
          <t>Delivery Quantity</t>
        </is>
      </c>
      <c r="L19" t="inlineStr">
        <is>
          <t>Delivery Unit</t>
        </is>
      </c>
      <c r="M19" t="inlineStr">
        <is>
          <t>Bin Location</t>
        </is>
      </c>
      <c r="N19" t="inlineStr">
        <is>
          <t>Batch Code</t>
        </is>
      </c>
      <c r="O19" t="inlineStr">
        <is>
          <t>Batch Expiration Date</t>
        </is>
      </c>
      <c r="P19" t="inlineStr">
        <is>
          <t>Reference/GRN</t>
        </is>
      </c>
      <c r="Q19" t="inlineStr">
        <is>
          <t>Receipt Date</t>
        </is>
      </c>
      <c r="R19" t="inlineStr">
        <is>
          <t>Batch Status</t>
        </is>
      </c>
      <c r="S19" t="inlineStr">
        <is>
          <t>Expected Release Date</t>
        </is>
      </c>
    </row>
    <row r="20">
      <c r="A20" t="inlineStr">
        <is>
          <t xml:space="preserve">5432038   </t>
        </is>
      </c>
      <c r="B20" t="inlineStr">
        <is>
          <t xml:space="preserve">Fast Distribution Corporation      </t>
        </is>
      </c>
      <c r="C20" t="inlineStr">
        <is>
          <t xml:space="preserve">GBOR21424STKAL                     </t>
        </is>
      </c>
      <c r="D20" t="n">
        <v>4064927933</v>
      </c>
      <c r="E20" t="n">
        <v>45342</v>
      </c>
      <c r="F20" t="inlineStr"/>
      <c r="G20" t="inlineStr"/>
      <c r="H20" t="inlineStr"/>
      <c r="I20" t="n">
        <v>12550969</v>
      </c>
      <c r="J20" t="inlineStr">
        <is>
          <t>NESCAFE CLAS Sticks MP 21(48x1.9g) N1 PH</t>
        </is>
      </c>
      <c r="K20" t="n">
        <v>0</v>
      </c>
      <c r="L20" t="inlineStr">
        <is>
          <t xml:space="preserve">CS </t>
        </is>
      </c>
      <c r="M20" t="inlineStr"/>
      <c r="N20" t="inlineStr">
        <is>
          <t xml:space="preserve">          </t>
        </is>
      </c>
      <c r="O20" t="inlineStr"/>
      <c r="P20" t="inlineStr"/>
      <c r="Q20" t="inlineStr"/>
      <c r="R20" t="inlineStr">
        <is>
          <t xml:space="preserve"> </t>
        </is>
      </c>
      <c r="S20" t="inlineStr"/>
    </row>
    <row r="21">
      <c r="A21" t="inlineStr">
        <is>
          <t xml:space="preserve">5432038   </t>
        </is>
      </c>
      <c r="B21" t="inlineStr">
        <is>
          <t xml:space="preserve">Fast Distribution Corporation      </t>
        </is>
      </c>
      <c r="C21" t="inlineStr">
        <is>
          <t xml:space="preserve">GBOR21424STKAL                     </t>
        </is>
      </c>
      <c r="D21" t="n">
        <v>4064927933</v>
      </c>
      <c r="E21" t="n">
        <v>45342</v>
      </c>
      <c r="F21" t="inlineStr"/>
      <c r="G21" t="inlineStr"/>
      <c r="H21" t="inlineStr"/>
      <c r="I21" t="n">
        <v>12550969</v>
      </c>
      <c r="J21" t="inlineStr">
        <is>
          <t>NESCAFE CLAS Sticks MP 21(48x1.9g) N1 PH</t>
        </is>
      </c>
      <c r="K21" t="n">
        <v>24</v>
      </c>
      <c r="L21" t="inlineStr">
        <is>
          <t xml:space="preserve">CS </t>
        </is>
      </c>
      <c r="M21" t="inlineStr"/>
      <c r="N21" t="inlineStr">
        <is>
          <t>40318985C1</t>
        </is>
      </c>
      <c r="O21" t="n">
        <v>45777</v>
      </c>
      <c r="P21" t="inlineStr"/>
      <c r="Q21" t="inlineStr"/>
      <c r="R21" t="inlineStr">
        <is>
          <t xml:space="preserve"> </t>
        </is>
      </c>
      <c r="S21" t="inlineStr"/>
    </row>
    <row r="22">
      <c r="A22" t="inlineStr">
        <is>
          <t xml:space="preserve">5432038   </t>
        </is>
      </c>
      <c r="B22" t="inlineStr">
        <is>
          <t xml:space="preserve">Fast Distribution Corporation      </t>
        </is>
      </c>
      <c r="C22" t="inlineStr">
        <is>
          <t xml:space="preserve">GBOR21424STKAL                     </t>
        </is>
      </c>
      <c r="D22" t="n">
        <v>4064927933</v>
      </c>
      <c r="E22" t="n">
        <v>45342</v>
      </c>
      <c r="F22" t="inlineStr"/>
      <c r="G22" t="inlineStr"/>
      <c r="H22" t="inlineStr"/>
      <c r="I22" t="n">
        <v>12550969</v>
      </c>
      <c r="J22" t="inlineStr">
        <is>
          <t>NESCAFE CLAS Sticks MP 21(48x1.9g) N1 PH</t>
        </is>
      </c>
      <c r="K22" t="n">
        <v>8</v>
      </c>
      <c r="L22" t="inlineStr">
        <is>
          <t xml:space="preserve">CS </t>
        </is>
      </c>
      <c r="M22" t="inlineStr"/>
      <c r="N22" t="inlineStr">
        <is>
          <t>40320604G1</t>
        </is>
      </c>
      <c r="O22" t="n">
        <v>45808</v>
      </c>
      <c r="P22" t="inlineStr"/>
      <c r="Q22" t="inlineStr"/>
      <c r="R22" t="inlineStr">
        <is>
          <t xml:space="preserve"> </t>
        </is>
      </c>
      <c r="S22" t="inlineStr"/>
    </row>
    <row r="23">
      <c r="A23" t="inlineStr">
        <is>
          <t xml:space="preserve">5432038   </t>
        </is>
      </c>
      <c r="B23" t="inlineStr">
        <is>
          <t xml:space="preserve">Fast Distribution Corporation      </t>
        </is>
      </c>
      <c r="C23" t="inlineStr">
        <is>
          <t xml:space="preserve">GBOR21424STKAL                     </t>
        </is>
      </c>
      <c r="D23" t="n">
        <v>4064927933</v>
      </c>
      <c r="E23" t="n">
        <v>45342</v>
      </c>
      <c r="F23" t="inlineStr"/>
      <c r="G23" t="inlineStr"/>
      <c r="H23" t="inlineStr"/>
      <c r="I23" t="n">
        <v>12550969</v>
      </c>
      <c r="J23" t="inlineStr">
        <is>
          <t>NESCAFE CLAS Sticks MP 21(48x1.9g) N1 PH</t>
        </is>
      </c>
      <c r="K23" t="n">
        <v>168</v>
      </c>
      <c r="L23" t="inlineStr">
        <is>
          <t xml:space="preserve">CS </t>
        </is>
      </c>
      <c r="M23" t="inlineStr"/>
      <c r="N23" t="inlineStr">
        <is>
          <t>40330604G1</t>
        </is>
      </c>
      <c r="O23" t="n">
        <v>45808</v>
      </c>
      <c r="P23" t="inlineStr"/>
      <c r="Q23" t="inlineStr"/>
      <c r="R23" t="inlineStr">
        <is>
          <t xml:space="preserve"> </t>
        </is>
      </c>
      <c r="S23" t="inlineStr"/>
    </row>
    <row r="24">
      <c r="A24" t="inlineStr">
        <is>
          <t>Ship To</t>
        </is>
      </c>
      <c r="B24" t="inlineStr">
        <is>
          <t>Ship To Name</t>
        </is>
      </c>
      <c r="C24" t="inlineStr">
        <is>
          <t>Purchase Order Number</t>
        </is>
      </c>
      <c r="D24" t="inlineStr">
        <is>
          <t>Sales Order</t>
        </is>
      </c>
      <c r="E24" t="inlineStr">
        <is>
          <t>Requested Delivery Date</t>
        </is>
      </c>
      <c r="F24" t="inlineStr">
        <is>
          <t>SYSPRO Purchase Order</t>
        </is>
      </c>
      <c r="G24" t="inlineStr">
        <is>
          <t>Line Number</t>
        </is>
      </c>
      <c r="H24" t="inlineStr">
        <is>
          <t>Warehouse</t>
        </is>
      </c>
      <c r="I24" t="inlineStr">
        <is>
          <t>Material</t>
        </is>
      </c>
      <c r="J24" t="inlineStr">
        <is>
          <t>Material Description</t>
        </is>
      </c>
      <c r="K24" t="inlineStr">
        <is>
          <t>Delivery Quantity</t>
        </is>
      </c>
      <c r="L24" t="inlineStr">
        <is>
          <t>Delivery Unit</t>
        </is>
      </c>
      <c r="M24" t="inlineStr">
        <is>
          <t>Bin Location</t>
        </is>
      </c>
      <c r="N24" t="inlineStr">
        <is>
          <t>Batch Code</t>
        </is>
      </c>
      <c r="O24" t="inlineStr">
        <is>
          <t>Batch Expiration Date</t>
        </is>
      </c>
      <c r="P24" t="inlineStr">
        <is>
          <t>Reference/GRN</t>
        </is>
      </c>
      <c r="Q24" t="inlineStr">
        <is>
          <t>Receipt Date</t>
        </is>
      </c>
      <c r="R24" t="inlineStr">
        <is>
          <t>Batch Status</t>
        </is>
      </c>
      <c r="S24" t="inlineStr">
        <is>
          <t>Expected Release Date</t>
        </is>
      </c>
    </row>
    <row r="25">
      <c r="A25" t="inlineStr">
        <is>
          <t xml:space="preserve">5432038   </t>
        </is>
      </c>
      <c r="B25" t="inlineStr">
        <is>
          <t xml:space="preserve">Fast Distribution Corporation      </t>
        </is>
      </c>
      <c r="C25" t="inlineStr">
        <is>
          <t xml:space="preserve">GBOR21324CLM2                      </t>
        </is>
      </c>
      <c r="D25" t="n">
        <v>4064945681</v>
      </c>
      <c r="E25" t="n">
        <v>45342</v>
      </c>
      <c r="F25" t="inlineStr"/>
      <c r="G25" t="inlineStr"/>
      <c r="H25" t="inlineStr"/>
      <c r="I25" t="n">
        <v>12495804</v>
      </c>
      <c r="J25" t="inlineStr">
        <is>
          <t xml:space="preserve">NESTLE CARNATION Condensada 48x388g PH  </t>
        </is>
      </c>
      <c r="K25" t="n">
        <v>3</v>
      </c>
      <c r="L25" t="inlineStr">
        <is>
          <t xml:space="preserve">CS </t>
        </is>
      </c>
      <c r="M25" t="inlineStr"/>
      <c r="N25" t="inlineStr">
        <is>
          <t>336015507A</t>
        </is>
      </c>
      <c r="O25" t="n">
        <v>45652</v>
      </c>
      <c r="P25" t="inlineStr"/>
      <c r="Q25" t="inlineStr"/>
      <c r="R25" t="inlineStr">
        <is>
          <t xml:space="preserve"> </t>
        </is>
      </c>
      <c r="S25" t="inlineStr"/>
    </row>
    <row r="26">
      <c r="A26" t="inlineStr">
        <is>
          <t>Ship To</t>
        </is>
      </c>
      <c r="B26" t="inlineStr">
        <is>
          <t>Ship To Name</t>
        </is>
      </c>
      <c r="C26" t="inlineStr">
        <is>
          <t>Purchase Order Number</t>
        </is>
      </c>
      <c r="D26" t="inlineStr">
        <is>
          <t>Sales Order</t>
        </is>
      </c>
      <c r="E26" t="inlineStr">
        <is>
          <t>Requested Delivery Date</t>
        </is>
      </c>
      <c r="F26" t="inlineStr">
        <is>
          <t>SYSPRO Purchase Order</t>
        </is>
      </c>
      <c r="G26" t="inlineStr">
        <is>
          <t>Line Number</t>
        </is>
      </c>
      <c r="H26" t="inlineStr">
        <is>
          <t>Warehouse</t>
        </is>
      </c>
      <c r="I26" t="inlineStr">
        <is>
          <t>Material</t>
        </is>
      </c>
      <c r="J26" t="inlineStr">
        <is>
          <t>Material Description</t>
        </is>
      </c>
      <c r="K26" t="inlineStr">
        <is>
          <t>Delivery Quantity</t>
        </is>
      </c>
      <c r="L26" t="inlineStr">
        <is>
          <t>Delivery Unit</t>
        </is>
      </c>
      <c r="M26" t="inlineStr">
        <is>
          <t>Bin Location</t>
        </is>
      </c>
      <c r="N26" t="inlineStr">
        <is>
          <t>Batch Code</t>
        </is>
      </c>
      <c r="O26" t="inlineStr">
        <is>
          <t>Batch Expiration Date</t>
        </is>
      </c>
      <c r="P26" t="inlineStr">
        <is>
          <t>Reference/GRN</t>
        </is>
      </c>
      <c r="Q26" t="inlineStr">
        <is>
          <t>Receipt Date</t>
        </is>
      </c>
      <c r="R26" t="inlineStr">
        <is>
          <t>Batch Status</t>
        </is>
      </c>
      <c r="S26" t="inlineStr">
        <is>
          <t>Expected Release Date</t>
        </is>
      </c>
    </row>
    <row r="27">
      <c r="A27" t="inlineStr">
        <is>
          <t xml:space="preserve">5432038   </t>
        </is>
      </c>
      <c r="B27" t="inlineStr">
        <is>
          <t xml:space="preserve">Fast Distribution Corporation      </t>
        </is>
      </c>
      <c r="C27" t="inlineStr">
        <is>
          <t xml:space="preserve">WBOR21324BNA22                     </t>
        </is>
      </c>
      <c r="D27" t="n">
        <v>4064960784</v>
      </c>
      <c r="E27" t="n">
        <v>45342</v>
      </c>
      <c r="F27" t="inlineStr"/>
      <c r="G27" t="inlineStr"/>
      <c r="H27" t="inlineStr"/>
      <c r="I27" t="n">
        <v>12530670</v>
      </c>
      <c r="J27" t="inlineStr">
        <is>
          <t xml:space="preserve">BONNA 4x2kg PH                          </t>
        </is>
      </c>
      <c r="K27" t="n">
        <v>3</v>
      </c>
      <c r="L27" t="inlineStr">
        <is>
          <t xml:space="preserve">CS </t>
        </is>
      </c>
      <c r="M27" t="inlineStr"/>
      <c r="N27" t="inlineStr">
        <is>
          <t xml:space="preserve">402173514 </t>
        </is>
      </c>
      <c r="O27" t="n">
        <v>45961</v>
      </c>
      <c r="P27" t="inlineStr"/>
      <c r="Q27" t="inlineStr"/>
      <c r="R27" t="inlineStr">
        <is>
          <t xml:space="preserve"> </t>
        </is>
      </c>
      <c r="S27" t="inlineStr"/>
    </row>
    <row r="28">
      <c r="A28" t="inlineStr">
        <is>
          <t>Ship To</t>
        </is>
      </c>
      <c r="B28" t="inlineStr">
        <is>
          <t>Ship To Name</t>
        </is>
      </c>
      <c r="C28" t="inlineStr">
        <is>
          <t>Purchase Order Number</t>
        </is>
      </c>
      <c r="D28" t="inlineStr">
        <is>
          <t>Sales Order</t>
        </is>
      </c>
      <c r="E28" t="inlineStr">
        <is>
          <t>Requested Delivery Date</t>
        </is>
      </c>
      <c r="F28" t="inlineStr">
        <is>
          <t>SYSPRO Purchase Order</t>
        </is>
      </c>
      <c r="G28" t="inlineStr">
        <is>
          <t>Line Number</t>
        </is>
      </c>
      <c r="H28" t="inlineStr">
        <is>
          <t>Warehouse</t>
        </is>
      </c>
      <c r="I28" t="inlineStr">
        <is>
          <t>Material</t>
        </is>
      </c>
      <c r="J28" t="inlineStr">
        <is>
          <t>Material Description</t>
        </is>
      </c>
      <c r="K28" t="inlineStr">
        <is>
          <t>Delivery Quantity</t>
        </is>
      </c>
      <c r="L28" t="inlineStr">
        <is>
          <t>Delivery Unit</t>
        </is>
      </c>
      <c r="M28" t="inlineStr">
        <is>
          <t>Bin Location</t>
        </is>
      </c>
      <c r="N28" t="inlineStr">
        <is>
          <t>Batch Code</t>
        </is>
      </c>
      <c r="O28" t="inlineStr">
        <is>
          <t>Batch Expiration Date</t>
        </is>
      </c>
      <c r="P28" t="inlineStr">
        <is>
          <t>Reference/GRN</t>
        </is>
      </c>
      <c r="Q28" t="inlineStr">
        <is>
          <t>Receipt Date</t>
        </is>
      </c>
      <c r="R28" t="inlineStr">
        <is>
          <t>Batch Status</t>
        </is>
      </c>
      <c r="S28" t="inlineStr">
        <is>
          <t>Expected Release Date</t>
        </is>
      </c>
    </row>
    <row r="29">
      <c r="A29" t="inlineStr">
        <is>
          <t xml:space="preserve">5432038   </t>
        </is>
      </c>
      <c r="B29" t="inlineStr">
        <is>
          <t xml:space="preserve">Fast Distribution Corporation      </t>
        </is>
      </c>
      <c r="C29" t="inlineStr">
        <is>
          <t xml:space="preserve">WBOR2062024BNK4N22                 </t>
        </is>
      </c>
      <c r="D29" t="n">
        <v>4064807579</v>
      </c>
      <c r="E29" t="n">
        <v>45342</v>
      </c>
      <c r="F29" t="inlineStr"/>
      <c r="G29" t="inlineStr"/>
      <c r="H29" t="inlineStr"/>
      <c r="I29" t="n">
        <v>12530648</v>
      </c>
      <c r="J29" t="inlineStr">
        <is>
          <t xml:space="preserve">BONAKID 4x2.4kg N2 PH                   </t>
        </is>
      </c>
      <c r="K29" t="n">
        <v>0</v>
      </c>
      <c r="L29" t="inlineStr">
        <is>
          <t xml:space="preserve">CS </t>
        </is>
      </c>
      <c r="M29" t="inlineStr"/>
      <c r="N29" t="inlineStr">
        <is>
          <t xml:space="preserve">          </t>
        </is>
      </c>
      <c r="O29" t="inlineStr"/>
      <c r="P29" t="inlineStr"/>
      <c r="Q29" t="inlineStr"/>
      <c r="R29" t="inlineStr">
        <is>
          <t xml:space="preserve"> </t>
        </is>
      </c>
      <c r="S29" t="inlineStr"/>
    </row>
    <row r="30">
      <c r="A30" t="inlineStr">
        <is>
          <t xml:space="preserve">5432038   </t>
        </is>
      </c>
      <c r="B30" t="inlineStr">
        <is>
          <t xml:space="preserve">Fast Distribution Corporation      </t>
        </is>
      </c>
      <c r="C30" t="inlineStr">
        <is>
          <t xml:space="preserve">WBOR2062024BNK4N22                 </t>
        </is>
      </c>
      <c r="D30" t="n">
        <v>4064807579</v>
      </c>
      <c r="E30" t="n">
        <v>45342</v>
      </c>
      <c r="F30" t="inlineStr"/>
      <c r="G30" t="inlineStr"/>
      <c r="H30" t="inlineStr"/>
      <c r="I30" t="n">
        <v>12530648</v>
      </c>
      <c r="J30" t="inlineStr">
        <is>
          <t xml:space="preserve">BONAKID 4x2.4kg N2 PH                   </t>
        </is>
      </c>
      <c r="K30" t="n">
        <v>4</v>
      </c>
      <c r="L30" t="inlineStr">
        <is>
          <t xml:space="preserve">CS </t>
        </is>
      </c>
      <c r="M30" t="inlineStr"/>
      <c r="N30" t="inlineStr">
        <is>
          <t>4032735171</t>
        </is>
      </c>
      <c r="O30" t="n">
        <v>45991</v>
      </c>
      <c r="P30" t="inlineStr"/>
      <c r="Q30" t="inlineStr"/>
      <c r="R30" t="inlineStr">
        <is>
          <t xml:space="preserve"> </t>
        </is>
      </c>
      <c r="S30" t="inlineStr"/>
    </row>
    <row r="31">
      <c r="A31" t="inlineStr">
        <is>
          <t xml:space="preserve">5432038   </t>
        </is>
      </c>
      <c r="B31" t="inlineStr">
        <is>
          <t xml:space="preserve">Fast Distribution Corporation      </t>
        </is>
      </c>
      <c r="C31" t="inlineStr">
        <is>
          <t xml:space="preserve">WBOR2062024BNK4N22                 </t>
        </is>
      </c>
      <c r="D31" t="n">
        <v>4064807579</v>
      </c>
      <c r="E31" t="n">
        <v>45342</v>
      </c>
      <c r="F31" t="inlineStr"/>
      <c r="G31" t="inlineStr"/>
      <c r="H31" t="inlineStr"/>
      <c r="I31" t="n">
        <v>12530648</v>
      </c>
      <c r="J31" t="inlineStr">
        <is>
          <t xml:space="preserve">BONAKID 4x2.4kg N2 PH                   </t>
        </is>
      </c>
      <c r="K31" t="n">
        <v>2</v>
      </c>
      <c r="L31" t="inlineStr">
        <is>
          <t xml:space="preserve">CS </t>
        </is>
      </c>
      <c r="M31" t="inlineStr"/>
      <c r="N31" t="inlineStr">
        <is>
          <t xml:space="preserve">403373517 </t>
        </is>
      </c>
      <c r="O31" t="n">
        <v>45991</v>
      </c>
      <c r="P31" t="inlineStr"/>
      <c r="Q31" t="inlineStr"/>
      <c r="R31" t="inlineStr">
        <is>
          <t xml:space="preserve"> </t>
        </is>
      </c>
      <c r="S31" t="inlineStr"/>
    </row>
    <row r="32">
      <c r="A32" t="inlineStr">
        <is>
          <t>Ship To</t>
        </is>
      </c>
      <c r="B32" t="inlineStr">
        <is>
          <t>Ship To Name</t>
        </is>
      </c>
      <c r="C32" t="inlineStr">
        <is>
          <t>Purchase Order Number</t>
        </is>
      </c>
      <c r="D32" t="inlineStr">
        <is>
          <t>Sales Order</t>
        </is>
      </c>
      <c r="E32" t="inlineStr">
        <is>
          <t>Requested Delivery Date</t>
        </is>
      </c>
      <c r="F32" t="inlineStr">
        <is>
          <t>SYSPRO Purchase Order</t>
        </is>
      </c>
      <c r="G32" t="inlineStr">
        <is>
          <t>Line Number</t>
        </is>
      </c>
      <c r="H32" t="inlineStr">
        <is>
          <t>Warehouse</t>
        </is>
      </c>
      <c r="I32" t="inlineStr">
        <is>
          <t>Material</t>
        </is>
      </c>
      <c r="J32" t="inlineStr">
        <is>
          <t>Material Description</t>
        </is>
      </c>
      <c r="K32" t="inlineStr">
        <is>
          <t>Delivery Quantity</t>
        </is>
      </c>
      <c r="L32" t="inlineStr">
        <is>
          <t>Delivery Unit</t>
        </is>
      </c>
      <c r="M32" t="inlineStr">
        <is>
          <t>Bin Location</t>
        </is>
      </c>
      <c r="N32" t="inlineStr">
        <is>
          <t>Batch Code</t>
        </is>
      </c>
      <c r="O32" t="inlineStr">
        <is>
          <t>Batch Expiration Date</t>
        </is>
      </c>
      <c r="P32" t="inlineStr">
        <is>
          <t>Reference/GRN</t>
        </is>
      </c>
      <c r="Q32" t="inlineStr">
        <is>
          <t>Receipt Date</t>
        </is>
      </c>
      <c r="R32" t="inlineStr">
        <is>
          <t>Batch Status</t>
        </is>
      </c>
      <c r="S32" t="inlineStr">
        <is>
          <t>Expected Release Date</t>
        </is>
      </c>
    </row>
    <row r="33">
      <c r="A33" t="inlineStr">
        <is>
          <t xml:space="preserve">5432038   </t>
        </is>
      </c>
      <c r="B33" t="inlineStr">
        <is>
          <t xml:space="preserve">Fast Distribution Corporation      </t>
        </is>
      </c>
      <c r="C33" t="inlineStr">
        <is>
          <t xml:space="preserve">GBOR2062024CFM2                    </t>
        </is>
      </c>
      <c r="D33" t="n">
        <v>4064863403</v>
      </c>
      <c r="E33" t="n">
        <v>45342</v>
      </c>
      <c r="F33" t="inlineStr"/>
      <c r="G33" t="inlineStr"/>
      <c r="H33" t="inlineStr"/>
      <c r="I33" t="n">
        <v>12536784</v>
      </c>
      <c r="J33" t="inlineStr">
        <is>
          <t xml:space="preserve">COFFEE-MATE 24x400g PH                  </t>
        </is>
      </c>
      <c r="K33" t="n">
        <v>10</v>
      </c>
      <c r="L33" t="inlineStr">
        <is>
          <t xml:space="preserve">CS </t>
        </is>
      </c>
      <c r="M33" t="inlineStr"/>
      <c r="N33" t="inlineStr">
        <is>
          <t>4031643841</t>
        </is>
      </c>
      <c r="O33" t="n">
        <v>45777</v>
      </c>
      <c r="P33" t="inlineStr"/>
      <c r="Q33" t="inlineStr"/>
      <c r="R33" t="inlineStr">
        <is>
          <t xml:space="preserve"> </t>
        </is>
      </c>
      <c r="S33" t="inlineStr"/>
    </row>
    <row r="34">
      <c r="A34" t="inlineStr">
        <is>
          <t xml:space="preserve">5432038   </t>
        </is>
      </c>
      <c r="B34" t="inlineStr">
        <is>
          <t xml:space="preserve">Fast Distribution Corporation      </t>
        </is>
      </c>
      <c r="C34" t="inlineStr">
        <is>
          <t xml:space="preserve">GBOR2062024CFM2                    </t>
        </is>
      </c>
      <c r="D34" t="n">
        <v>4064863403</v>
      </c>
      <c r="E34" t="n">
        <v>45342</v>
      </c>
      <c r="F34" t="inlineStr"/>
      <c r="G34" t="inlineStr"/>
      <c r="H34" t="inlineStr"/>
      <c r="I34" t="n">
        <v>12536774</v>
      </c>
      <c r="J34" t="inlineStr">
        <is>
          <t xml:space="preserve">COFFEE-MATE 40x220g PH                  </t>
        </is>
      </c>
      <c r="K34" t="n">
        <v>15</v>
      </c>
      <c r="L34" t="inlineStr">
        <is>
          <t xml:space="preserve">CS </t>
        </is>
      </c>
      <c r="M34" t="inlineStr"/>
      <c r="N34" t="inlineStr">
        <is>
          <t>4039643841</t>
        </is>
      </c>
      <c r="O34" t="n">
        <v>45808</v>
      </c>
      <c r="P34" t="inlineStr"/>
      <c r="Q34" t="inlineStr"/>
      <c r="R34" t="inlineStr">
        <is>
          <t xml:space="preserve"> </t>
        </is>
      </c>
      <c r="S34" t="inlineStr"/>
    </row>
    <row r="35">
      <c r="A35" t="inlineStr">
        <is>
          <t>Ship To</t>
        </is>
      </c>
      <c r="B35" t="inlineStr">
        <is>
          <t>Ship To Name</t>
        </is>
      </c>
      <c r="C35" t="inlineStr">
        <is>
          <t>Purchase Order Number</t>
        </is>
      </c>
      <c r="D35" t="inlineStr">
        <is>
          <t>Sales Order</t>
        </is>
      </c>
      <c r="E35" t="inlineStr">
        <is>
          <t>Requested Delivery Date</t>
        </is>
      </c>
      <c r="F35" t="inlineStr">
        <is>
          <t>SYSPRO Purchase Order</t>
        </is>
      </c>
      <c r="G35" t="inlineStr">
        <is>
          <t>Line Number</t>
        </is>
      </c>
      <c r="H35" t="inlineStr">
        <is>
          <t>Warehouse</t>
        </is>
      </c>
      <c r="I35" t="inlineStr">
        <is>
          <t>Material</t>
        </is>
      </c>
      <c r="J35" t="inlineStr">
        <is>
          <t>Material Description</t>
        </is>
      </c>
      <c r="K35" t="inlineStr">
        <is>
          <t>Delivery Quantity</t>
        </is>
      </c>
      <c r="L35" t="inlineStr">
        <is>
          <t>Delivery Unit</t>
        </is>
      </c>
      <c r="M35" t="inlineStr">
        <is>
          <t>Bin Location</t>
        </is>
      </c>
      <c r="N35" t="inlineStr">
        <is>
          <t>Batch Code</t>
        </is>
      </c>
      <c r="O35" t="inlineStr">
        <is>
          <t>Batch Expiration Date</t>
        </is>
      </c>
      <c r="P35" t="inlineStr">
        <is>
          <t>Reference/GRN</t>
        </is>
      </c>
      <c r="Q35" t="inlineStr">
        <is>
          <t>Receipt Date</t>
        </is>
      </c>
      <c r="R35" t="inlineStr">
        <is>
          <t>Batch Status</t>
        </is>
      </c>
      <c r="S35" t="inlineStr">
        <is>
          <t>Expected Release Date</t>
        </is>
      </c>
    </row>
    <row r="36">
      <c r="A36" t="inlineStr">
        <is>
          <t xml:space="preserve">5432038   </t>
        </is>
      </c>
      <c r="B36" t="inlineStr">
        <is>
          <t xml:space="preserve">Fast Distribution Corporation      </t>
        </is>
      </c>
      <c r="C36" t="inlineStr">
        <is>
          <t xml:space="preserve">GBOR2062024CLM2                    </t>
        </is>
      </c>
      <c r="D36" t="n">
        <v>4064859142</v>
      </c>
      <c r="E36" t="n">
        <v>45342</v>
      </c>
      <c r="F36" t="inlineStr"/>
      <c r="G36" t="inlineStr"/>
      <c r="H36" t="inlineStr"/>
      <c r="I36" t="n">
        <v>12495804</v>
      </c>
      <c r="J36" t="inlineStr">
        <is>
          <t xml:space="preserve">NESTLE CARNATION Condensada 48x388g PH  </t>
        </is>
      </c>
      <c r="K36" t="n">
        <v>3</v>
      </c>
      <c r="L36" t="inlineStr">
        <is>
          <t xml:space="preserve">CS </t>
        </is>
      </c>
      <c r="M36" t="inlineStr"/>
      <c r="N36" t="inlineStr">
        <is>
          <t>336015507A</t>
        </is>
      </c>
      <c r="O36" t="n">
        <v>45652</v>
      </c>
      <c r="P36" t="inlineStr"/>
      <c r="Q36" t="inlineStr"/>
      <c r="R36" t="inlineStr">
        <is>
          <t xml:space="preserve"> </t>
        </is>
      </c>
      <c r="S36" t="inlineStr"/>
    </row>
    <row r="37">
      <c r="A37" t="inlineStr">
        <is>
          <t>Ship To</t>
        </is>
      </c>
      <c r="B37" t="inlineStr">
        <is>
          <t>Ship To Name</t>
        </is>
      </c>
      <c r="C37" t="inlineStr">
        <is>
          <t>Purchase Order Number</t>
        </is>
      </c>
      <c r="D37" t="inlineStr">
        <is>
          <t>Sales Order</t>
        </is>
      </c>
      <c r="E37" t="inlineStr">
        <is>
          <t>Requested Delivery Date</t>
        </is>
      </c>
      <c r="F37" t="inlineStr">
        <is>
          <t>SYSPRO Purchase Order</t>
        </is>
      </c>
      <c r="G37" t="inlineStr">
        <is>
          <t>Line Number</t>
        </is>
      </c>
      <c r="H37" t="inlineStr">
        <is>
          <t>Warehouse</t>
        </is>
      </c>
      <c r="I37" t="inlineStr">
        <is>
          <t>Material</t>
        </is>
      </c>
      <c r="J37" t="inlineStr">
        <is>
          <t>Material Description</t>
        </is>
      </c>
      <c r="K37" t="inlineStr">
        <is>
          <t>Delivery Quantity</t>
        </is>
      </c>
      <c r="L37" t="inlineStr">
        <is>
          <t>Delivery Unit</t>
        </is>
      </c>
      <c r="M37" t="inlineStr">
        <is>
          <t>Bin Location</t>
        </is>
      </c>
      <c r="N37" t="inlineStr">
        <is>
          <t>Batch Code</t>
        </is>
      </c>
      <c r="O37" t="inlineStr">
        <is>
          <t>Batch Expiration Date</t>
        </is>
      </c>
      <c r="P37" t="inlineStr">
        <is>
          <t>Reference/GRN</t>
        </is>
      </c>
      <c r="Q37" t="inlineStr">
        <is>
          <t>Receipt Date</t>
        </is>
      </c>
      <c r="R37" t="inlineStr">
        <is>
          <t>Batch Status</t>
        </is>
      </c>
      <c r="S37" t="inlineStr">
        <is>
          <t>Expected Release Date</t>
        </is>
      </c>
    </row>
    <row r="38">
      <c r="A38" t="inlineStr">
        <is>
          <t xml:space="preserve">5432038   </t>
        </is>
      </c>
      <c r="B38" t="inlineStr">
        <is>
          <t xml:space="preserve">Fast Distribution Corporation      </t>
        </is>
      </c>
      <c r="C38" t="inlineStr">
        <is>
          <t xml:space="preserve">GBOR2062024PLMIL4                  </t>
        </is>
      </c>
      <c r="D38" t="n">
        <v>4064880034</v>
      </c>
      <c r="E38" t="n">
        <v>45342</v>
      </c>
      <c r="F38" t="inlineStr"/>
      <c r="G38" t="inlineStr"/>
      <c r="H38" t="inlineStr"/>
      <c r="I38" t="n">
        <v>12435172</v>
      </c>
      <c r="J38" t="inlineStr">
        <is>
          <t xml:space="preserve">MILO ACTIV-GO Winner 504x24g PH         </t>
        </is>
      </c>
      <c r="K38" t="n">
        <v>50</v>
      </c>
      <c r="L38" t="inlineStr">
        <is>
          <t xml:space="preserve">CS </t>
        </is>
      </c>
      <c r="M38" t="inlineStr"/>
      <c r="N38" t="inlineStr">
        <is>
          <t>40190604D1</t>
        </is>
      </c>
      <c r="O38" t="n">
        <v>45626</v>
      </c>
      <c r="P38" t="inlineStr"/>
      <c r="Q38" t="inlineStr"/>
      <c r="R38" t="inlineStr">
        <is>
          <t xml:space="preserve"> </t>
        </is>
      </c>
      <c r="S38" t="inlineStr"/>
    </row>
    <row r="39">
      <c r="A39" t="inlineStr">
        <is>
          <t>Ship To</t>
        </is>
      </c>
      <c r="B39" t="inlineStr">
        <is>
          <t>Ship To Name</t>
        </is>
      </c>
      <c r="C39" t="inlineStr">
        <is>
          <t>Purchase Order Number</t>
        </is>
      </c>
      <c r="D39" t="inlineStr">
        <is>
          <t>Sales Order</t>
        </is>
      </c>
      <c r="E39" t="inlineStr">
        <is>
          <t>Requested Delivery Date</t>
        </is>
      </c>
      <c r="F39" t="inlineStr">
        <is>
          <t>SYSPRO Purchase Order</t>
        </is>
      </c>
      <c r="G39" t="inlineStr">
        <is>
          <t>Line Number</t>
        </is>
      </c>
      <c r="H39" t="inlineStr">
        <is>
          <t>Warehouse</t>
        </is>
      </c>
      <c r="I39" t="inlineStr">
        <is>
          <t>Material</t>
        </is>
      </c>
      <c r="J39" t="inlineStr">
        <is>
          <t>Material Description</t>
        </is>
      </c>
      <c r="K39" t="inlineStr">
        <is>
          <t>Delivery Quantity</t>
        </is>
      </c>
      <c r="L39" t="inlineStr">
        <is>
          <t>Delivery Unit</t>
        </is>
      </c>
      <c r="M39" t="inlineStr">
        <is>
          <t>Bin Location</t>
        </is>
      </c>
      <c r="N39" t="inlineStr">
        <is>
          <t>Batch Code</t>
        </is>
      </c>
      <c r="O39" t="inlineStr">
        <is>
          <t>Batch Expiration Date</t>
        </is>
      </c>
      <c r="P39" t="inlineStr">
        <is>
          <t>Reference/GRN</t>
        </is>
      </c>
      <c r="Q39" t="inlineStr">
        <is>
          <t>Receipt Date</t>
        </is>
      </c>
      <c r="R39" t="inlineStr">
        <is>
          <t>Batch Status</t>
        </is>
      </c>
      <c r="S39" t="inlineStr">
        <is>
          <t>Expected Release Date</t>
        </is>
      </c>
    </row>
    <row r="40">
      <c r="A40" t="inlineStr">
        <is>
          <t xml:space="preserve">5432038   </t>
        </is>
      </c>
      <c r="B40" t="inlineStr">
        <is>
          <t xml:space="preserve">Fast Distribution Corporation      </t>
        </is>
      </c>
      <c r="C40" t="inlineStr">
        <is>
          <t xml:space="preserve">GBOR21424MXSAL                     </t>
        </is>
      </c>
      <c r="D40" t="n">
        <v>4064928568</v>
      </c>
      <c r="E40" t="n">
        <v>45342</v>
      </c>
      <c r="F40" t="inlineStr"/>
      <c r="G40" t="inlineStr"/>
      <c r="H40" t="inlineStr"/>
      <c r="I40" t="n">
        <v>12557556</v>
      </c>
      <c r="J40" t="inlineStr">
        <is>
          <t xml:space="preserve">NESC CreamyLatteTwin 20(10x51g)PR9+1PH  </t>
        </is>
      </c>
      <c r="K40" t="n">
        <v>20</v>
      </c>
      <c r="L40" t="inlineStr">
        <is>
          <t xml:space="preserve">CS </t>
        </is>
      </c>
      <c r="M40" t="inlineStr"/>
      <c r="N40" t="inlineStr">
        <is>
          <t>40090597T1</t>
        </is>
      </c>
      <c r="O40" t="n">
        <v>45688</v>
      </c>
      <c r="P40" t="inlineStr"/>
      <c r="Q40" t="inlineStr"/>
      <c r="R40" t="inlineStr">
        <is>
          <t xml:space="preserve"> </t>
        </is>
      </c>
      <c r="S40" t="inlineStr"/>
    </row>
    <row r="41">
      <c r="A41" t="inlineStr">
        <is>
          <t>Ship To</t>
        </is>
      </c>
      <c r="B41" t="inlineStr">
        <is>
          <t>Ship To Name</t>
        </is>
      </c>
      <c r="C41" t="inlineStr">
        <is>
          <t>Purchase Order Number</t>
        </is>
      </c>
      <c r="D41" t="inlineStr">
        <is>
          <t>Sales Order</t>
        </is>
      </c>
      <c r="E41" t="inlineStr">
        <is>
          <t>Requested Delivery Date</t>
        </is>
      </c>
      <c r="F41" t="inlineStr">
        <is>
          <t>SYSPRO Purchase Order</t>
        </is>
      </c>
      <c r="G41" t="inlineStr">
        <is>
          <t>Line Number</t>
        </is>
      </c>
      <c r="H41" t="inlineStr">
        <is>
          <t>Warehouse</t>
        </is>
      </c>
      <c r="I41" t="inlineStr">
        <is>
          <t>Material</t>
        </is>
      </c>
      <c r="J41" t="inlineStr">
        <is>
          <t>Material Description</t>
        </is>
      </c>
      <c r="K41" t="inlineStr">
        <is>
          <t>Delivery Quantity</t>
        </is>
      </c>
      <c r="L41" t="inlineStr">
        <is>
          <t>Delivery Unit</t>
        </is>
      </c>
      <c r="M41" t="inlineStr">
        <is>
          <t>Bin Location</t>
        </is>
      </c>
      <c r="N41" t="inlineStr">
        <is>
          <t>Batch Code</t>
        </is>
      </c>
      <c r="O41" t="inlineStr">
        <is>
          <t>Batch Expiration Date</t>
        </is>
      </c>
      <c r="P41" t="inlineStr">
        <is>
          <t>Reference/GRN</t>
        </is>
      </c>
      <c r="Q41" t="inlineStr">
        <is>
          <t>Receipt Date</t>
        </is>
      </c>
      <c r="R41" t="inlineStr">
        <is>
          <t>Batch Status</t>
        </is>
      </c>
      <c r="S41" t="inlineStr">
        <is>
          <t>Expected Release Date</t>
        </is>
      </c>
    </row>
    <row r="42">
      <c r="A42" t="inlineStr">
        <is>
          <t xml:space="preserve">5432038   </t>
        </is>
      </c>
      <c r="B42" t="inlineStr">
        <is>
          <t xml:space="preserve">Fast Distribution Corporation      </t>
        </is>
      </c>
      <c r="C42" t="inlineStr">
        <is>
          <t xml:space="preserve">GBOR22024Wk8PD1PWM1                </t>
        </is>
      </c>
      <c r="D42" t="n">
        <v>4064849574</v>
      </c>
      <c r="E42" t="n">
        <v>45342</v>
      </c>
      <c r="F42" t="inlineStr"/>
      <c r="G42" t="inlineStr"/>
      <c r="H42" t="inlineStr"/>
      <c r="I42" t="n">
        <v>12578169</v>
      </c>
      <c r="J42" t="inlineStr">
        <is>
          <t xml:space="preserve">BRBR CHOCO 24(7x29g) PRFrBRBRCHOCO29gPH </t>
        </is>
      </c>
      <c r="K42" t="n">
        <v>0</v>
      </c>
      <c r="L42" t="inlineStr">
        <is>
          <t xml:space="preserve">CS </t>
        </is>
      </c>
      <c r="M42" t="inlineStr"/>
      <c r="N42" t="inlineStr">
        <is>
          <t xml:space="preserve">          </t>
        </is>
      </c>
      <c r="O42" t="inlineStr"/>
      <c r="P42" t="inlineStr"/>
      <c r="Q42" t="inlineStr"/>
      <c r="R42" t="inlineStr">
        <is>
          <t xml:space="preserve"> </t>
        </is>
      </c>
      <c r="S42" t="inlineStr"/>
    </row>
    <row r="43">
      <c r="A43" t="inlineStr">
        <is>
          <t xml:space="preserve">5432038   </t>
        </is>
      </c>
      <c r="B43" t="inlineStr">
        <is>
          <t xml:space="preserve">Fast Distribution Corporation      </t>
        </is>
      </c>
      <c r="C43" t="inlineStr">
        <is>
          <t xml:space="preserve">GBOR22024Wk8PD1PWM1                </t>
        </is>
      </c>
      <c r="D43" t="n">
        <v>4064849574</v>
      </c>
      <c r="E43" t="n">
        <v>45342</v>
      </c>
      <c r="F43" t="inlineStr"/>
      <c r="G43" t="inlineStr"/>
      <c r="H43" t="inlineStr"/>
      <c r="I43" t="n">
        <v>12578169</v>
      </c>
      <c r="J43" t="inlineStr">
        <is>
          <t xml:space="preserve">BRBR CHOCO 24(7x29g) PRFrBRBRCHOCO29gPH </t>
        </is>
      </c>
      <c r="K43" t="n">
        <v>3</v>
      </c>
      <c r="L43" t="inlineStr">
        <is>
          <t xml:space="preserve">CS </t>
        </is>
      </c>
      <c r="M43" t="inlineStr"/>
      <c r="N43" t="inlineStr">
        <is>
          <t>40190189JA</t>
        </is>
      </c>
      <c r="O43" t="n">
        <v>45688</v>
      </c>
      <c r="P43" t="inlineStr"/>
      <c r="Q43" t="inlineStr"/>
      <c r="R43" t="inlineStr">
        <is>
          <t xml:space="preserve"> </t>
        </is>
      </c>
      <c r="S43" t="inlineStr"/>
    </row>
    <row r="44">
      <c r="A44" t="inlineStr">
        <is>
          <t xml:space="preserve">5432038   </t>
        </is>
      </c>
      <c r="B44" t="inlineStr">
        <is>
          <t xml:space="preserve">Fast Distribution Corporation      </t>
        </is>
      </c>
      <c r="C44" t="inlineStr">
        <is>
          <t xml:space="preserve">GBOR22024Wk8PD1PWM1                </t>
        </is>
      </c>
      <c r="D44" t="n">
        <v>4064849574</v>
      </c>
      <c r="E44" t="n">
        <v>45342</v>
      </c>
      <c r="F44" t="inlineStr"/>
      <c r="G44" t="inlineStr"/>
      <c r="H44" t="inlineStr"/>
      <c r="I44" t="n">
        <v>12578169</v>
      </c>
      <c r="J44" t="inlineStr">
        <is>
          <t xml:space="preserve">BRBR CHOCO 24(7x29g) PRFrBRBRCHOCO29gPH </t>
        </is>
      </c>
      <c r="K44" t="n">
        <v>1</v>
      </c>
      <c r="L44" t="inlineStr">
        <is>
          <t xml:space="preserve">CS </t>
        </is>
      </c>
      <c r="M44" t="inlineStr"/>
      <c r="N44" t="inlineStr">
        <is>
          <t>40290189JA</t>
        </is>
      </c>
      <c r="O44" t="n">
        <v>45688</v>
      </c>
      <c r="P44" t="inlineStr"/>
      <c r="Q44" t="inlineStr"/>
      <c r="R44" t="inlineStr">
        <is>
          <t xml:space="preserve"> </t>
        </is>
      </c>
      <c r="S44" t="inlineStr"/>
    </row>
    <row r="45">
      <c r="A45" t="inlineStr">
        <is>
          <t>Ship To</t>
        </is>
      </c>
      <c r="B45" t="inlineStr">
        <is>
          <t>Ship To Name</t>
        </is>
      </c>
      <c r="C45" t="inlineStr">
        <is>
          <t>Purchase Order Number</t>
        </is>
      </c>
      <c r="D45" t="inlineStr">
        <is>
          <t>Sales Order</t>
        </is>
      </c>
      <c r="E45" t="inlineStr">
        <is>
          <t>Requested Delivery Date</t>
        </is>
      </c>
      <c r="F45" t="inlineStr">
        <is>
          <t>SYSPRO Purchase Order</t>
        </is>
      </c>
      <c r="G45" t="inlineStr">
        <is>
          <t>Line Number</t>
        </is>
      </c>
      <c r="H45" t="inlineStr">
        <is>
          <t>Warehouse</t>
        </is>
      </c>
      <c r="I45" t="inlineStr">
        <is>
          <t>Material</t>
        </is>
      </c>
      <c r="J45" t="inlineStr">
        <is>
          <t>Material Description</t>
        </is>
      </c>
      <c r="K45" t="inlineStr">
        <is>
          <t>Delivery Quantity</t>
        </is>
      </c>
      <c r="L45" t="inlineStr">
        <is>
          <t>Delivery Unit</t>
        </is>
      </c>
      <c r="M45" t="inlineStr">
        <is>
          <t>Bin Location</t>
        </is>
      </c>
      <c r="N45" t="inlineStr">
        <is>
          <t>Batch Code</t>
        </is>
      </c>
      <c r="O45" t="inlineStr">
        <is>
          <t>Batch Expiration Date</t>
        </is>
      </c>
      <c r="P45" t="inlineStr">
        <is>
          <t>Reference/GRN</t>
        </is>
      </c>
      <c r="Q45" t="inlineStr">
        <is>
          <t>Receipt Date</t>
        </is>
      </c>
      <c r="R45" t="inlineStr">
        <is>
          <t>Batch Status</t>
        </is>
      </c>
      <c r="S45" t="inlineStr">
        <is>
          <t>Expected Release Date</t>
        </is>
      </c>
    </row>
    <row r="46">
      <c r="A46" t="inlineStr">
        <is>
          <t xml:space="preserve">5432038   </t>
        </is>
      </c>
      <c r="B46" t="inlineStr">
        <is>
          <t xml:space="preserve">Fast Distribution Corporation      </t>
        </is>
      </c>
      <c r="C46" t="inlineStr">
        <is>
          <t xml:space="preserve">GBOR22724Wk9PD1NST1                </t>
        </is>
      </c>
      <c r="D46" t="n">
        <v>4064842661</v>
      </c>
      <c r="E46" t="n">
        <v>45342</v>
      </c>
      <c r="F46" t="inlineStr"/>
      <c r="G46" t="inlineStr"/>
      <c r="H46" t="inlineStr"/>
      <c r="I46" t="n">
        <v>12584775</v>
      </c>
      <c r="J46" t="inlineStr">
        <is>
          <t xml:space="preserve">NESTEA Apple 24(6x20g) PR 5+1 PH        </t>
        </is>
      </c>
      <c r="K46" t="n">
        <v>2</v>
      </c>
      <c r="L46" t="inlineStr">
        <is>
          <t xml:space="preserve">CS </t>
        </is>
      </c>
      <c r="M46" t="inlineStr"/>
      <c r="N46" t="inlineStr">
        <is>
          <t>40290604E1</t>
        </is>
      </c>
      <c r="O46" t="n">
        <v>45688</v>
      </c>
      <c r="P46" t="inlineStr"/>
      <c r="Q46" t="inlineStr"/>
      <c r="R46" t="inlineStr">
        <is>
          <t xml:space="preserve"> </t>
        </is>
      </c>
      <c r="S46" t="inlineStr"/>
    </row>
    <row r="47">
      <c r="A47" t="inlineStr">
        <is>
          <t xml:space="preserve">5432038   </t>
        </is>
      </c>
      <c r="B47" t="inlineStr">
        <is>
          <t xml:space="preserve">Fast Distribution Corporation      </t>
        </is>
      </c>
      <c r="C47" t="inlineStr">
        <is>
          <t xml:space="preserve">GBOR22724Wk9PD1NST1                </t>
        </is>
      </c>
      <c r="D47" t="n">
        <v>4064842661</v>
      </c>
      <c r="E47" t="n">
        <v>45342</v>
      </c>
      <c r="F47" t="inlineStr"/>
      <c r="G47" t="inlineStr"/>
      <c r="H47" t="inlineStr"/>
      <c r="I47" t="n">
        <v>12584786</v>
      </c>
      <c r="J47" t="inlineStr">
        <is>
          <t xml:space="preserve">NESTEA Lemon 24(6x20g) PR 5+1 PH        </t>
        </is>
      </c>
      <c r="K47" t="n">
        <v>2</v>
      </c>
      <c r="L47" t="inlineStr">
        <is>
          <t xml:space="preserve">CS </t>
        </is>
      </c>
      <c r="M47" t="inlineStr"/>
      <c r="N47" t="inlineStr">
        <is>
          <t>40360604F1</t>
        </is>
      </c>
      <c r="O47" t="n">
        <v>45716</v>
      </c>
      <c r="P47" t="inlineStr"/>
      <c r="Q47" t="inlineStr"/>
      <c r="R47" t="inlineStr">
        <is>
          <t xml:space="preserve"> </t>
        </is>
      </c>
      <c r="S47" t="inlineStr"/>
    </row>
    <row r="48">
      <c r="A48" t="inlineStr">
        <is>
          <t xml:space="preserve">5432038   </t>
        </is>
      </c>
      <c r="B48" t="inlineStr">
        <is>
          <t xml:space="preserve">Fast Distribution Corporation      </t>
        </is>
      </c>
      <c r="C48" t="inlineStr">
        <is>
          <t xml:space="preserve">GBOR22724Wk9PD1NST1                </t>
        </is>
      </c>
      <c r="D48" t="n">
        <v>4064842661</v>
      </c>
      <c r="E48" t="n">
        <v>45342</v>
      </c>
      <c r="F48" t="inlineStr"/>
      <c r="G48" t="inlineStr"/>
      <c r="H48" t="inlineStr"/>
      <c r="I48" t="n">
        <v>12537538</v>
      </c>
      <c r="J48" t="inlineStr">
        <is>
          <t xml:space="preserve">NESTEA Lemon 12(12x20g) PRFrPitcher PH  </t>
        </is>
      </c>
      <c r="K48" t="n">
        <v>2</v>
      </c>
      <c r="L48" t="inlineStr">
        <is>
          <t xml:space="preserve">CS </t>
        </is>
      </c>
      <c r="M48" t="inlineStr"/>
      <c r="N48" t="inlineStr">
        <is>
          <t>40200604F2</t>
        </is>
      </c>
      <c r="O48" t="n">
        <v>45688</v>
      </c>
      <c r="P48" t="inlineStr"/>
      <c r="Q48" t="inlineStr"/>
      <c r="R48" t="inlineStr">
        <is>
          <t xml:space="preserve"> </t>
        </is>
      </c>
      <c r="S48" t="inlineStr"/>
    </row>
    <row r="49">
      <c r="A49" t="inlineStr">
        <is>
          <t xml:space="preserve">5432038   </t>
        </is>
      </c>
      <c r="B49" t="inlineStr">
        <is>
          <t xml:space="preserve">Fast Distribution Corporation      </t>
        </is>
      </c>
      <c r="C49" t="inlineStr">
        <is>
          <t xml:space="preserve">GBOR22724Wk9PD1NST1                </t>
        </is>
      </c>
      <c r="D49" t="n">
        <v>4064842661</v>
      </c>
      <c r="E49" t="n">
        <v>45342</v>
      </c>
      <c r="F49" t="inlineStr"/>
      <c r="G49" t="inlineStr"/>
      <c r="H49" t="inlineStr"/>
      <c r="I49" t="n">
        <v>12538256</v>
      </c>
      <c r="J49" t="inlineStr">
        <is>
          <t xml:space="preserve">NESTEA Apple 12(12x20g) PRFrPitcher PH  </t>
        </is>
      </c>
      <c r="K49" t="n">
        <v>3</v>
      </c>
      <c r="L49" t="inlineStr">
        <is>
          <t xml:space="preserve">CS </t>
        </is>
      </c>
      <c r="M49" t="inlineStr"/>
      <c r="N49" t="inlineStr">
        <is>
          <t>40260604E2</t>
        </is>
      </c>
      <c r="O49" t="n">
        <v>45688</v>
      </c>
      <c r="P49" t="inlineStr"/>
      <c r="Q49" t="inlineStr"/>
      <c r="R49" t="inlineStr">
        <is>
          <t xml:space="preserve"> </t>
        </is>
      </c>
      <c r="S49" t="inlineStr"/>
    </row>
    <row r="50">
      <c r="A50" t="inlineStr">
        <is>
          <t>Ship To</t>
        </is>
      </c>
      <c r="B50" t="inlineStr">
        <is>
          <t>Ship To Name</t>
        </is>
      </c>
      <c r="C50" t="inlineStr">
        <is>
          <t>Purchase Order Number</t>
        </is>
      </c>
      <c r="D50" t="inlineStr">
        <is>
          <t>Sales Order</t>
        </is>
      </c>
      <c r="E50" t="inlineStr">
        <is>
          <t>Requested Delivery Date</t>
        </is>
      </c>
      <c r="F50" t="inlineStr">
        <is>
          <t>SYSPRO Purchase Order</t>
        </is>
      </c>
      <c r="G50" t="inlineStr">
        <is>
          <t>Line Number</t>
        </is>
      </c>
      <c r="H50" t="inlineStr">
        <is>
          <t>Warehouse</t>
        </is>
      </c>
      <c r="I50" t="inlineStr">
        <is>
          <t>Material</t>
        </is>
      </c>
      <c r="J50" t="inlineStr">
        <is>
          <t>Material Description</t>
        </is>
      </c>
      <c r="K50" t="inlineStr">
        <is>
          <t>Delivery Quantity</t>
        </is>
      </c>
      <c r="L50" t="inlineStr">
        <is>
          <t>Delivery Unit</t>
        </is>
      </c>
      <c r="M50" t="inlineStr">
        <is>
          <t>Bin Location</t>
        </is>
      </c>
      <c r="N50" t="inlineStr">
        <is>
          <t>Batch Code</t>
        </is>
      </c>
      <c r="O50" t="inlineStr">
        <is>
          <t>Batch Expiration Date</t>
        </is>
      </c>
      <c r="P50" t="inlineStr">
        <is>
          <t>Reference/GRN</t>
        </is>
      </c>
      <c r="Q50" t="inlineStr">
        <is>
          <t>Receipt Date</t>
        </is>
      </c>
      <c r="R50" t="inlineStr">
        <is>
          <t>Batch Status</t>
        </is>
      </c>
      <c r="S50" t="inlineStr">
        <is>
          <t>Expected Release Date</t>
        </is>
      </c>
    </row>
    <row r="51">
      <c r="A51" t="inlineStr">
        <is>
          <t xml:space="preserve">5432038   </t>
        </is>
      </c>
      <c r="B51" t="inlineStr">
        <is>
          <t xml:space="preserve">Fast Distribution Corporation      </t>
        </is>
      </c>
      <c r="C51" t="inlineStr">
        <is>
          <t xml:space="preserve">GBOR21324MIL2                      </t>
        </is>
      </c>
      <c r="D51" t="n">
        <v>4064974329</v>
      </c>
      <c r="E51" t="n">
        <v>45342</v>
      </c>
      <c r="F51" t="inlineStr"/>
      <c r="G51" t="inlineStr"/>
      <c r="H51" t="inlineStr"/>
      <c r="I51" t="n">
        <v>12454174</v>
      </c>
      <c r="J51" t="inlineStr">
        <is>
          <t xml:space="preserve">NESTLE MILO RTD PAPStraw 32x180ml PH    </t>
        </is>
      </c>
      <c r="K51" t="n">
        <v>2</v>
      </c>
      <c r="L51" t="inlineStr">
        <is>
          <t xml:space="preserve">CS </t>
        </is>
      </c>
      <c r="M51" t="inlineStr"/>
      <c r="N51" t="inlineStr">
        <is>
          <t>33250189FE</t>
        </is>
      </c>
      <c r="O51" t="n">
        <v>45565</v>
      </c>
      <c r="P51" t="inlineStr"/>
      <c r="Q51" t="inlineStr"/>
      <c r="R51" t="inlineStr">
        <is>
          <t xml:space="preserve"> </t>
        </is>
      </c>
      <c r="S51" t="inlineStr"/>
    </row>
    <row r="52">
      <c r="A52" t="inlineStr">
        <is>
          <t xml:space="preserve">5432038   </t>
        </is>
      </c>
      <c r="B52" t="inlineStr">
        <is>
          <t xml:space="preserve">Fast Distribution Corporation      </t>
        </is>
      </c>
      <c r="C52" t="inlineStr">
        <is>
          <t xml:space="preserve">GBOR21324MIL2                      </t>
        </is>
      </c>
      <c r="D52" t="n">
        <v>4064974329</v>
      </c>
      <c r="E52" t="n">
        <v>45342</v>
      </c>
      <c r="F52" t="inlineStr"/>
      <c r="G52" t="inlineStr"/>
      <c r="H52" t="inlineStr"/>
      <c r="I52" t="n">
        <v>12452538</v>
      </c>
      <c r="J52" t="inlineStr">
        <is>
          <t xml:space="preserve">NESTLE MILO RTD 60x110ml N2 PH          </t>
        </is>
      </c>
      <c r="K52" t="n">
        <v>3</v>
      </c>
      <c r="L52" t="inlineStr">
        <is>
          <t xml:space="preserve">CS </t>
        </is>
      </c>
      <c r="M52" t="inlineStr"/>
      <c r="N52" t="inlineStr">
        <is>
          <t>33250189LE</t>
        </is>
      </c>
      <c r="O52" t="n">
        <v>45565</v>
      </c>
      <c r="P52" t="inlineStr"/>
      <c r="Q52" t="inlineStr"/>
      <c r="R52" t="inlineStr">
        <is>
          <t xml:space="preserve"> </t>
        </is>
      </c>
      <c r="S52" t="inlineStr"/>
    </row>
    <row r="53">
      <c r="A53" t="inlineStr">
        <is>
          <t>Ship To</t>
        </is>
      </c>
      <c r="B53" t="inlineStr">
        <is>
          <t>Ship To Name</t>
        </is>
      </c>
      <c r="C53" t="inlineStr">
        <is>
          <t>Purchase Order Number</t>
        </is>
      </c>
      <c r="D53" t="inlineStr">
        <is>
          <t>Sales Order</t>
        </is>
      </c>
      <c r="E53" t="inlineStr">
        <is>
          <t>Requested Delivery Date</t>
        </is>
      </c>
      <c r="F53" t="inlineStr">
        <is>
          <t>SYSPRO Purchase Order</t>
        </is>
      </c>
      <c r="G53" t="inlineStr">
        <is>
          <t>Line Number</t>
        </is>
      </c>
      <c r="H53" t="inlineStr">
        <is>
          <t>Warehouse</t>
        </is>
      </c>
      <c r="I53" t="inlineStr">
        <is>
          <t>Material</t>
        </is>
      </c>
      <c r="J53" t="inlineStr">
        <is>
          <t>Material Description</t>
        </is>
      </c>
      <c r="K53" t="inlineStr">
        <is>
          <t>Delivery Quantity</t>
        </is>
      </c>
      <c r="L53" t="inlineStr">
        <is>
          <t>Delivery Unit</t>
        </is>
      </c>
      <c r="M53" t="inlineStr">
        <is>
          <t>Bin Location</t>
        </is>
      </c>
      <c r="N53" t="inlineStr">
        <is>
          <t>Batch Code</t>
        </is>
      </c>
      <c r="O53" t="inlineStr">
        <is>
          <t>Batch Expiration Date</t>
        </is>
      </c>
      <c r="P53" t="inlineStr">
        <is>
          <t>Reference/GRN</t>
        </is>
      </c>
      <c r="Q53" t="inlineStr">
        <is>
          <t>Receipt Date</t>
        </is>
      </c>
      <c r="R53" t="inlineStr">
        <is>
          <t>Batch Status</t>
        </is>
      </c>
      <c r="S53" t="inlineStr">
        <is>
          <t>Expected Release Date</t>
        </is>
      </c>
    </row>
    <row r="54">
      <c r="A54" t="inlineStr">
        <is>
          <t xml:space="preserve">5432038   </t>
        </is>
      </c>
      <c r="B54" t="inlineStr">
        <is>
          <t xml:space="preserve">Fast Distribution Corporation      </t>
        </is>
      </c>
      <c r="C54" t="inlineStr">
        <is>
          <t xml:space="preserve">GBOR21324PSN1                      </t>
        </is>
      </c>
      <c r="D54" t="n">
        <v>4064976244</v>
      </c>
      <c r="E54" t="n">
        <v>45342</v>
      </c>
      <c r="F54" t="inlineStr"/>
      <c r="G54" t="inlineStr"/>
      <c r="H54" t="inlineStr"/>
      <c r="I54" t="n">
        <v>12572331</v>
      </c>
      <c r="J54" t="inlineStr">
        <is>
          <t xml:space="preserve">NESC GOLD Org 40(20x2g) PH              </t>
        </is>
      </c>
      <c r="K54" t="n">
        <v>1</v>
      </c>
      <c r="L54" t="inlineStr">
        <is>
          <t xml:space="preserve">CS </t>
        </is>
      </c>
      <c r="M54" t="inlineStr"/>
      <c r="N54" t="inlineStr">
        <is>
          <t xml:space="preserve">32923404  </t>
        </is>
      </c>
      <c r="O54" t="n">
        <v>45765</v>
      </c>
      <c r="P54" t="inlineStr"/>
      <c r="Q54" t="inlineStr"/>
      <c r="R54" t="inlineStr">
        <is>
          <t xml:space="preserve"> </t>
        </is>
      </c>
      <c r="S54" t="inlineStr"/>
    </row>
    <row r="55">
      <c r="A55" t="inlineStr">
        <is>
          <t xml:space="preserve">5432038   </t>
        </is>
      </c>
      <c r="B55" t="inlineStr">
        <is>
          <t xml:space="preserve">Fast Distribution Corporation      </t>
        </is>
      </c>
      <c r="C55" t="inlineStr">
        <is>
          <t xml:space="preserve">GBOR21324PSN1                      </t>
        </is>
      </c>
      <c r="D55" t="n">
        <v>4064976244</v>
      </c>
      <c r="E55" t="n">
        <v>45342</v>
      </c>
      <c r="F55" t="inlineStr"/>
      <c r="G55" t="inlineStr"/>
      <c r="H55" t="inlineStr"/>
      <c r="I55" t="n">
        <v>12396062</v>
      </c>
      <c r="J55" t="inlineStr">
        <is>
          <t xml:space="preserve">NESCAFE GOLD Original Int5 6x200g PH    </t>
        </is>
      </c>
      <c r="K55" t="n">
        <v>2</v>
      </c>
      <c r="L55" t="inlineStr">
        <is>
          <t xml:space="preserve">CS </t>
        </is>
      </c>
      <c r="M55" t="inlineStr"/>
      <c r="N55" t="inlineStr">
        <is>
          <t xml:space="preserve">33613657  </t>
        </is>
      </c>
      <c r="O55" t="n">
        <v>46382</v>
      </c>
      <c r="P55" t="inlineStr"/>
      <c r="Q55" t="inlineStr"/>
      <c r="R55" t="inlineStr">
        <is>
          <t xml:space="preserve"> </t>
        </is>
      </c>
      <c r="S55" t="inlineStr"/>
    </row>
    <row r="56">
      <c r="A56" t="inlineStr">
        <is>
          <t xml:space="preserve">5432038   </t>
        </is>
      </c>
      <c r="B56" t="inlineStr">
        <is>
          <t xml:space="preserve">Fast Distribution Corporation      </t>
        </is>
      </c>
      <c r="C56" t="inlineStr">
        <is>
          <t xml:space="preserve">GBOR21324PSN1                      </t>
        </is>
      </c>
      <c r="D56" t="n">
        <v>4064976244</v>
      </c>
      <c r="E56" t="n">
        <v>45342</v>
      </c>
      <c r="F56" t="inlineStr"/>
      <c r="G56" t="inlineStr"/>
      <c r="H56" t="inlineStr"/>
      <c r="I56" t="n">
        <v>12396047</v>
      </c>
      <c r="J56" t="inlineStr">
        <is>
          <t xml:space="preserve">NESCAFE GOLD Original Int5 12x100g PH   </t>
        </is>
      </c>
      <c r="K56" t="n">
        <v>5</v>
      </c>
      <c r="L56" t="inlineStr">
        <is>
          <t xml:space="preserve">CS </t>
        </is>
      </c>
      <c r="M56" t="inlineStr"/>
      <c r="N56" t="inlineStr">
        <is>
          <t xml:space="preserve">33593657  </t>
        </is>
      </c>
      <c r="O56" t="n">
        <v>46380</v>
      </c>
      <c r="P56" t="inlineStr"/>
      <c r="Q56" t="inlineStr"/>
      <c r="R56" t="inlineStr">
        <is>
          <t xml:space="preserve"> </t>
        </is>
      </c>
      <c r="S56" t="inlineStr"/>
    </row>
    <row r="57">
      <c r="A57" t="inlineStr">
        <is>
          <t xml:space="preserve">5432038   </t>
        </is>
      </c>
      <c r="B57" t="inlineStr">
        <is>
          <t xml:space="preserve">Fast Distribution Corporation      </t>
        </is>
      </c>
      <c r="C57" t="inlineStr">
        <is>
          <t xml:space="preserve">GBOR21324PSN1                      </t>
        </is>
      </c>
      <c r="D57" t="n">
        <v>4064976244</v>
      </c>
      <c r="E57" t="n">
        <v>45342</v>
      </c>
      <c r="F57" t="inlineStr"/>
      <c r="G57" t="inlineStr"/>
      <c r="H57" t="inlineStr"/>
      <c r="I57" t="n">
        <v>12572305</v>
      </c>
      <c r="J57" t="inlineStr">
        <is>
          <t xml:space="preserve">NESC GOLD Org Int5 15x170gRefilPk PH    </t>
        </is>
      </c>
      <c r="K57" t="n">
        <v>3</v>
      </c>
      <c r="L57" t="inlineStr">
        <is>
          <t xml:space="preserve">CS </t>
        </is>
      </c>
      <c r="M57" t="inlineStr"/>
      <c r="N57" t="inlineStr">
        <is>
          <t xml:space="preserve">33473657  </t>
        </is>
      </c>
      <c r="O57" t="n">
        <v>45820</v>
      </c>
      <c r="P57" t="inlineStr"/>
      <c r="Q57" t="inlineStr"/>
      <c r="R57" t="inlineStr">
        <is>
          <t xml:space="preserve"> </t>
        </is>
      </c>
      <c r="S57" t="inlineStr"/>
    </row>
    <row r="58">
      <c r="A58" t="inlineStr">
        <is>
          <t>Ship To</t>
        </is>
      </c>
      <c r="B58" t="inlineStr">
        <is>
          <t>Ship To Name</t>
        </is>
      </c>
      <c r="C58" t="inlineStr">
        <is>
          <t>Purchase Order Number</t>
        </is>
      </c>
      <c r="D58" t="inlineStr">
        <is>
          <t>Sales Order</t>
        </is>
      </c>
      <c r="E58" t="inlineStr">
        <is>
          <t>Requested Delivery Date</t>
        </is>
      </c>
      <c r="F58" t="inlineStr">
        <is>
          <t>SYSPRO Purchase Order</t>
        </is>
      </c>
      <c r="G58" t="inlineStr">
        <is>
          <t>Line Number</t>
        </is>
      </c>
      <c r="H58" t="inlineStr">
        <is>
          <t>Warehouse</t>
        </is>
      </c>
      <c r="I58" t="inlineStr">
        <is>
          <t>Material</t>
        </is>
      </c>
      <c r="J58" t="inlineStr">
        <is>
          <t>Material Description</t>
        </is>
      </c>
      <c r="K58" t="inlineStr">
        <is>
          <t>Delivery Quantity</t>
        </is>
      </c>
      <c r="L58" t="inlineStr">
        <is>
          <t>Delivery Unit</t>
        </is>
      </c>
      <c r="M58" t="inlineStr">
        <is>
          <t>Bin Location</t>
        </is>
      </c>
      <c r="N58" t="inlineStr">
        <is>
          <t>Batch Code</t>
        </is>
      </c>
      <c r="O58" t="inlineStr">
        <is>
          <t>Batch Expiration Date</t>
        </is>
      </c>
      <c r="P58" t="inlineStr">
        <is>
          <t>Reference/GRN</t>
        </is>
      </c>
      <c r="Q58" t="inlineStr">
        <is>
          <t>Receipt Date</t>
        </is>
      </c>
      <c r="R58" t="inlineStr">
        <is>
          <t>Batch Status</t>
        </is>
      </c>
      <c r="S58" t="inlineStr">
        <is>
          <t>Expected Release Date</t>
        </is>
      </c>
    </row>
    <row r="59">
      <c r="A59" t="inlineStr">
        <is>
          <t xml:space="preserve">5432038   </t>
        </is>
      </c>
      <c r="B59" t="inlineStr">
        <is>
          <t xml:space="preserve">Fast Distribution Corporation      </t>
        </is>
      </c>
      <c r="C59" t="inlineStr">
        <is>
          <t xml:space="preserve">GBOR21324NST1                      </t>
        </is>
      </c>
      <c r="D59" t="n">
        <v>4064933412</v>
      </c>
      <c r="E59" t="n">
        <v>45342</v>
      </c>
      <c r="F59" t="inlineStr"/>
      <c r="G59" t="inlineStr"/>
      <c r="H59" t="inlineStr"/>
      <c r="I59" t="n">
        <v>12551613</v>
      </c>
      <c r="J59" t="inlineStr">
        <is>
          <t xml:space="preserve">NESTEA Lemon 24x250g PH                 </t>
        </is>
      </c>
      <c r="K59" t="n">
        <v>1</v>
      </c>
      <c r="L59" t="inlineStr">
        <is>
          <t xml:space="preserve">CS </t>
        </is>
      </c>
      <c r="M59" t="inlineStr"/>
      <c r="N59" t="inlineStr">
        <is>
          <t>40050604B1</t>
        </is>
      </c>
      <c r="O59" t="n">
        <v>45688</v>
      </c>
      <c r="P59" t="inlineStr"/>
      <c r="Q59" t="inlineStr"/>
      <c r="R59" t="inlineStr">
        <is>
          <t xml:space="preserve"> </t>
        </is>
      </c>
      <c r="S59" t="inlineStr"/>
    </row>
    <row r="60">
      <c r="A60" t="inlineStr">
        <is>
          <t>Ship To</t>
        </is>
      </c>
      <c r="B60" t="inlineStr">
        <is>
          <t>Ship To Name</t>
        </is>
      </c>
      <c r="C60" t="inlineStr">
        <is>
          <t>Purchase Order Number</t>
        </is>
      </c>
      <c r="D60" t="inlineStr">
        <is>
          <t>Sales Order</t>
        </is>
      </c>
      <c r="E60" t="inlineStr">
        <is>
          <t>Requested Delivery Date</t>
        </is>
      </c>
      <c r="F60" t="inlineStr">
        <is>
          <t>SYSPRO Purchase Order</t>
        </is>
      </c>
      <c r="G60" t="inlineStr">
        <is>
          <t>Line Number</t>
        </is>
      </c>
      <c r="H60" t="inlineStr">
        <is>
          <t>Warehouse</t>
        </is>
      </c>
      <c r="I60" t="inlineStr">
        <is>
          <t>Material</t>
        </is>
      </c>
      <c r="J60" t="inlineStr">
        <is>
          <t>Material Description</t>
        </is>
      </c>
      <c r="K60" t="inlineStr">
        <is>
          <t>Delivery Quantity</t>
        </is>
      </c>
      <c r="L60" t="inlineStr">
        <is>
          <t>Delivery Unit</t>
        </is>
      </c>
      <c r="M60" t="inlineStr">
        <is>
          <t>Bin Location</t>
        </is>
      </c>
      <c r="N60" t="inlineStr">
        <is>
          <t>Batch Code</t>
        </is>
      </c>
      <c r="O60" t="inlineStr">
        <is>
          <t>Batch Expiration Date</t>
        </is>
      </c>
      <c r="P60" t="inlineStr">
        <is>
          <t>Reference/GRN</t>
        </is>
      </c>
      <c r="Q60" t="inlineStr">
        <is>
          <t>Receipt Date</t>
        </is>
      </c>
      <c r="R60" t="inlineStr">
        <is>
          <t>Batch Status</t>
        </is>
      </c>
      <c r="S60" t="inlineStr">
        <is>
          <t>Expected Release Date</t>
        </is>
      </c>
    </row>
    <row r="61">
      <c r="A61" t="inlineStr">
        <is>
          <t xml:space="preserve">5432038   </t>
        </is>
      </c>
      <c r="B61" t="inlineStr">
        <is>
          <t xml:space="preserve">Fast Distribution Corporation      </t>
        </is>
      </c>
      <c r="C61" t="inlineStr">
        <is>
          <t xml:space="preserve">GBOR2062024GLD2                    </t>
        </is>
      </c>
      <c r="D61" t="n">
        <v>4064879737</v>
      </c>
      <c r="E61" t="n">
        <v>45342</v>
      </c>
      <c r="F61" t="inlineStr"/>
      <c r="G61" t="inlineStr"/>
      <c r="H61" t="inlineStr"/>
      <c r="I61" t="n">
        <v>12396061</v>
      </c>
      <c r="J61" t="inlineStr">
        <is>
          <t xml:space="preserve">NESCAFE GOLD Original Int5 12x50g PH    </t>
        </is>
      </c>
      <c r="K61" t="n">
        <v>3</v>
      </c>
      <c r="L61" t="inlineStr">
        <is>
          <t xml:space="preserve">CS </t>
        </is>
      </c>
      <c r="M61" t="inlineStr"/>
      <c r="N61" t="inlineStr">
        <is>
          <t xml:space="preserve">40223657  </t>
        </is>
      </c>
      <c r="O61" t="n">
        <v>46408</v>
      </c>
      <c r="P61" t="inlineStr"/>
      <c r="Q61" t="inlineStr"/>
      <c r="R61" t="inlineStr">
        <is>
          <t xml:space="preserve"> </t>
        </is>
      </c>
      <c r="S61" t="inlineStr"/>
    </row>
    <row r="62">
      <c r="A62" t="inlineStr">
        <is>
          <t>Ship To</t>
        </is>
      </c>
      <c r="B62" t="inlineStr">
        <is>
          <t>Ship To Name</t>
        </is>
      </c>
      <c r="C62" t="inlineStr">
        <is>
          <t>Purchase Order Number</t>
        </is>
      </c>
      <c r="D62" t="inlineStr">
        <is>
          <t>Sales Order</t>
        </is>
      </c>
      <c r="E62" t="inlineStr">
        <is>
          <t>Requested Delivery Date</t>
        </is>
      </c>
      <c r="F62" t="inlineStr">
        <is>
          <t>SYSPRO Purchase Order</t>
        </is>
      </c>
      <c r="G62" t="inlineStr">
        <is>
          <t>Line Number</t>
        </is>
      </c>
      <c r="H62" t="inlineStr">
        <is>
          <t>Warehouse</t>
        </is>
      </c>
      <c r="I62" t="inlineStr">
        <is>
          <t>Material</t>
        </is>
      </c>
      <c r="J62" t="inlineStr">
        <is>
          <t>Material Description</t>
        </is>
      </c>
      <c r="K62" t="inlineStr">
        <is>
          <t>Delivery Quantity</t>
        </is>
      </c>
      <c r="L62" t="inlineStr">
        <is>
          <t>Delivery Unit</t>
        </is>
      </c>
      <c r="M62" t="inlineStr">
        <is>
          <t>Bin Location</t>
        </is>
      </c>
      <c r="N62" t="inlineStr">
        <is>
          <t>Batch Code</t>
        </is>
      </c>
      <c r="O62" t="inlineStr">
        <is>
          <t>Batch Expiration Date</t>
        </is>
      </c>
      <c r="P62" t="inlineStr">
        <is>
          <t>Reference/GRN</t>
        </is>
      </c>
      <c r="Q62" t="inlineStr">
        <is>
          <t>Receipt Date</t>
        </is>
      </c>
      <c r="R62" t="inlineStr">
        <is>
          <t>Batch Status</t>
        </is>
      </c>
      <c r="S62" t="inlineStr">
        <is>
          <t>Expected Release Date</t>
        </is>
      </c>
    </row>
    <row r="63">
      <c r="A63" t="inlineStr">
        <is>
          <t xml:space="preserve">5432038   </t>
        </is>
      </c>
      <c r="B63" t="inlineStr">
        <is>
          <t xml:space="preserve">Fast Distribution Corporation      </t>
        </is>
      </c>
      <c r="C63" t="inlineStr">
        <is>
          <t xml:space="preserve">WBOR21324BNK4N22                   </t>
        </is>
      </c>
      <c r="D63" t="n">
        <v>4064956579</v>
      </c>
      <c r="E63" t="n">
        <v>45342</v>
      </c>
      <c r="F63" t="inlineStr"/>
      <c r="G63" t="inlineStr"/>
      <c r="H63" t="inlineStr"/>
      <c r="I63" t="n">
        <v>12530648</v>
      </c>
      <c r="J63" t="inlineStr">
        <is>
          <t xml:space="preserve">BONAKID 4x2.4kg N2 PH                   </t>
        </is>
      </c>
      <c r="K63" t="n">
        <v>3</v>
      </c>
      <c r="L63" t="inlineStr">
        <is>
          <t xml:space="preserve">CS </t>
        </is>
      </c>
      <c r="M63" t="inlineStr"/>
      <c r="N63" t="inlineStr">
        <is>
          <t xml:space="preserve">403373517 </t>
        </is>
      </c>
      <c r="O63" t="n">
        <v>45991</v>
      </c>
      <c r="P63" t="inlineStr"/>
      <c r="Q63" t="inlineStr"/>
      <c r="R63" t="inlineStr">
        <is>
          <t xml:space="preserve"> </t>
        </is>
      </c>
      <c r="S63" t="inlineStr"/>
    </row>
    <row r="64">
      <c r="A64" t="inlineStr">
        <is>
          <t>Ship To</t>
        </is>
      </c>
      <c r="B64" t="inlineStr">
        <is>
          <t>Ship To Name</t>
        </is>
      </c>
      <c r="C64" t="inlineStr">
        <is>
          <t>Purchase Order Number</t>
        </is>
      </c>
      <c r="D64" t="inlineStr">
        <is>
          <t>Sales Order</t>
        </is>
      </c>
      <c r="E64" t="inlineStr">
        <is>
          <t>Requested Delivery Date</t>
        </is>
      </c>
      <c r="F64" t="inlineStr">
        <is>
          <t>SYSPRO Purchase Order</t>
        </is>
      </c>
      <c r="G64" t="inlineStr">
        <is>
          <t>Line Number</t>
        </is>
      </c>
      <c r="H64" t="inlineStr">
        <is>
          <t>Warehouse</t>
        </is>
      </c>
      <c r="I64" t="inlineStr">
        <is>
          <t>Material</t>
        </is>
      </c>
      <c r="J64" t="inlineStr">
        <is>
          <t>Material Description</t>
        </is>
      </c>
      <c r="K64" t="inlineStr">
        <is>
          <t>Delivery Quantity</t>
        </is>
      </c>
      <c r="L64" t="inlineStr">
        <is>
          <t>Delivery Unit</t>
        </is>
      </c>
      <c r="M64" t="inlineStr">
        <is>
          <t>Bin Location</t>
        </is>
      </c>
      <c r="N64" t="inlineStr">
        <is>
          <t>Batch Code</t>
        </is>
      </c>
      <c r="O64" t="inlineStr">
        <is>
          <t>Batch Expiration Date</t>
        </is>
      </c>
      <c r="P64" t="inlineStr">
        <is>
          <t>Reference/GRN</t>
        </is>
      </c>
      <c r="Q64" t="inlineStr">
        <is>
          <t>Receipt Date</t>
        </is>
      </c>
      <c r="R64" t="inlineStr">
        <is>
          <t>Batch Status</t>
        </is>
      </c>
      <c r="S64" t="inlineStr">
        <is>
          <t>Expected Release Date</t>
        </is>
      </c>
    </row>
    <row r="65">
      <c r="A65" t="inlineStr">
        <is>
          <t xml:space="preserve">5432038   </t>
        </is>
      </c>
      <c r="B65" t="inlineStr">
        <is>
          <t xml:space="preserve">Fast Distribution Corporation      </t>
        </is>
      </c>
      <c r="C65" t="inlineStr">
        <is>
          <t xml:space="preserve">GBOR21324GLD2                      </t>
        </is>
      </c>
      <c r="D65" t="n">
        <v>4064965033</v>
      </c>
      <c r="E65" t="n">
        <v>45342</v>
      </c>
      <c r="F65" t="inlineStr"/>
      <c r="G65" t="inlineStr"/>
      <c r="H65" t="inlineStr"/>
      <c r="I65" t="n">
        <v>12396061</v>
      </c>
      <c r="J65" t="inlineStr">
        <is>
          <t xml:space="preserve">NESCAFE GOLD Original Int5 12x50g PH    </t>
        </is>
      </c>
      <c r="K65" t="n">
        <v>3</v>
      </c>
      <c r="L65" t="inlineStr">
        <is>
          <t xml:space="preserve">CS </t>
        </is>
      </c>
      <c r="M65" t="inlineStr"/>
      <c r="N65" t="inlineStr">
        <is>
          <t xml:space="preserve">40223657  </t>
        </is>
      </c>
      <c r="O65" t="n">
        <v>46408</v>
      </c>
      <c r="P65" t="inlineStr"/>
      <c r="Q65" t="inlineStr"/>
      <c r="R65" t="inlineStr">
        <is>
          <t xml:space="preserve"> </t>
        </is>
      </c>
      <c r="S65" t="inlineStr"/>
    </row>
    <row r="66">
      <c r="A66" t="inlineStr">
        <is>
          <t>Ship To</t>
        </is>
      </c>
      <c r="B66" t="inlineStr">
        <is>
          <t>Ship To Name</t>
        </is>
      </c>
      <c r="C66" t="inlineStr">
        <is>
          <t>Purchase Order Number</t>
        </is>
      </c>
      <c r="D66" t="inlineStr">
        <is>
          <t>Sales Order</t>
        </is>
      </c>
      <c r="E66" t="inlineStr">
        <is>
          <t>Requested Delivery Date</t>
        </is>
      </c>
      <c r="F66" t="inlineStr">
        <is>
          <t>SYSPRO Purchase Order</t>
        </is>
      </c>
      <c r="G66" t="inlineStr">
        <is>
          <t>Line Number</t>
        </is>
      </c>
      <c r="H66" t="inlineStr">
        <is>
          <t>Warehouse</t>
        </is>
      </c>
      <c r="I66" t="inlineStr">
        <is>
          <t>Material</t>
        </is>
      </c>
      <c r="J66" t="inlineStr">
        <is>
          <t>Material Description</t>
        </is>
      </c>
      <c r="K66" t="inlineStr">
        <is>
          <t>Delivery Quantity</t>
        </is>
      </c>
      <c r="L66" t="inlineStr">
        <is>
          <t>Delivery Unit</t>
        </is>
      </c>
      <c r="M66" t="inlineStr">
        <is>
          <t>Bin Location</t>
        </is>
      </c>
      <c r="N66" t="inlineStr">
        <is>
          <t>Batch Code</t>
        </is>
      </c>
      <c r="O66" t="inlineStr">
        <is>
          <t>Batch Expiration Date</t>
        </is>
      </c>
      <c r="P66" t="inlineStr">
        <is>
          <t>Reference/GRN</t>
        </is>
      </c>
      <c r="Q66" t="inlineStr">
        <is>
          <t>Receipt Date</t>
        </is>
      </c>
      <c r="R66" t="inlineStr">
        <is>
          <t>Batch Status</t>
        </is>
      </c>
      <c r="S66" t="inlineStr">
        <is>
          <t>Expected Release Date</t>
        </is>
      </c>
    </row>
    <row r="67">
      <c r="A67" t="inlineStr">
        <is>
          <t xml:space="preserve">5432038   </t>
        </is>
      </c>
      <c r="B67" t="inlineStr">
        <is>
          <t xml:space="preserve">Fast Distribution Corporation      </t>
        </is>
      </c>
      <c r="C67" t="inlineStr">
        <is>
          <t xml:space="preserve">GBOR22724Wk9PD1PWM1                </t>
        </is>
      </c>
      <c r="D67" t="n">
        <v>4064867437</v>
      </c>
      <c r="E67" t="n">
        <v>45342</v>
      </c>
      <c r="F67" t="inlineStr"/>
      <c r="G67" t="inlineStr"/>
      <c r="H67" t="inlineStr"/>
      <c r="I67" t="n">
        <v>12578169</v>
      </c>
      <c r="J67" t="inlineStr">
        <is>
          <t xml:space="preserve">BRBR CHOCO 24(7x29g) PRFrBRBRCHOCO29gPH </t>
        </is>
      </c>
      <c r="K67" t="n">
        <v>3</v>
      </c>
      <c r="L67" t="inlineStr">
        <is>
          <t xml:space="preserve">CS </t>
        </is>
      </c>
      <c r="M67" t="inlineStr"/>
      <c r="N67" t="inlineStr">
        <is>
          <t>40290189JA</t>
        </is>
      </c>
      <c r="O67" t="n">
        <v>45688</v>
      </c>
      <c r="P67" t="inlineStr"/>
      <c r="Q67" t="inlineStr"/>
      <c r="R67" t="inlineStr">
        <is>
          <t xml:space="preserve"> </t>
        </is>
      </c>
      <c r="S67" t="inlineStr"/>
    </row>
    <row r="68">
      <c r="A68" t="inlineStr">
        <is>
          <t>Ship To</t>
        </is>
      </c>
      <c r="B68" t="inlineStr">
        <is>
          <t>Ship To Name</t>
        </is>
      </c>
      <c r="C68" t="inlineStr">
        <is>
          <t>Purchase Order Number</t>
        </is>
      </c>
      <c r="D68" t="inlineStr">
        <is>
          <t>Sales Order</t>
        </is>
      </c>
      <c r="E68" t="inlineStr">
        <is>
          <t>Requested Delivery Date</t>
        </is>
      </c>
      <c r="F68" t="inlineStr">
        <is>
          <t>SYSPRO Purchase Order</t>
        </is>
      </c>
      <c r="G68" t="inlineStr">
        <is>
          <t>Line Number</t>
        </is>
      </c>
      <c r="H68" t="inlineStr">
        <is>
          <t>Warehouse</t>
        </is>
      </c>
      <c r="I68" t="inlineStr">
        <is>
          <t>Material</t>
        </is>
      </c>
      <c r="J68" t="inlineStr">
        <is>
          <t>Material Description</t>
        </is>
      </c>
      <c r="K68" t="inlineStr">
        <is>
          <t>Delivery Quantity</t>
        </is>
      </c>
      <c r="L68" t="inlineStr">
        <is>
          <t>Delivery Unit</t>
        </is>
      </c>
      <c r="M68" t="inlineStr">
        <is>
          <t>Bin Location</t>
        </is>
      </c>
      <c r="N68" t="inlineStr">
        <is>
          <t>Batch Code</t>
        </is>
      </c>
      <c r="O68" t="inlineStr">
        <is>
          <t>Batch Expiration Date</t>
        </is>
      </c>
      <c r="P68" t="inlineStr">
        <is>
          <t>Reference/GRN</t>
        </is>
      </c>
      <c r="Q68" t="inlineStr">
        <is>
          <t>Receipt Date</t>
        </is>
      </c>
      <c r="R68" t="inlineStr">
        <is>
          <t>Batch Status</t>
        </is>
      </c>
      <c r="S68" t="inlineStr">
        <is>
          <t>Expected Release Date</t>
        </is>
      </c>
    </row>
    <row r="69">
      <c r="A69" t="inlineStr">
        <is>
          <t xml:space="preserve">5432038   </t>
        </is>
      </c>
      <c r="B69" t="inlineStr">
        <is>
          <t xml:space="preserve">Fast Distribution Corporation      </t>
        </is>
      </c>
      <c r="C69" t="inlineStr">
        <is>
          <t xml:space="preserve">GBOR22024Wk8PD1MIL1                </t>
        </is>
      </c>
      <c r="D69" t="n">
        <v>4064867192</v>
      </c>
      <c r="E69" t="n">
        <v>45342</v>
      </c>
      <c r="F69" t="inlineStr"/>
      <c r="G69" t="inlineStr"/>
      <c r="H69" t="inlineStr"/>
      <c r="I69" t="n">
        <v>12587362</v>
      </c>
      <c r="J69" t="inlineStr">
        <is>
          <t xml:space="preserve">MILO 4x1kg PRFree MugPH                 </t>
        </is>
      </c>
      <c r="K69" t="n">
        <v>2</v>
      </c>
      <c r="L69" t="inlineStr">
        <is>
          <t xml:space="preserve">CS </t>
        </is>
      </c>
      <c r="M69" t="inlineStr"/>
      <c r="N69" t="inlineStr">
        <is>
          <t>40220191AA</t>
        </is>
      </c>
      <c r="O69" t="n">
        <v>45777</v>
      </c>
      <c r="P69" t="inlineStr"/>
      <c r="Q69" t="inlineStr"/>
      <c r="R69" t="inlineStr">
        <is>
          <t xml:space="preserve"> </t>
        </is>
      </c>
      <c r="S69" t="inlineStr"/>
    </row>
    <row r="70">
      <c r="A70" t="inlineStr">
        <is>
          <t xml:space="preserve">5432038   </t>
        </is>
      </c>
      <c r="B70" t="inlineStr">
        <is>
          <t xml:space="preserve">Fast Distribution Corporation      </t>
        </is>
      </c>
      <c r="C70" t="inlineStr">
        <is>
          <t xml:space="preserve">GBOR22024Wk8PD1MIL1                </t>
        </is>
      </c>
      <c r="D70" t="n">
        <v>4064867192</v>
      </c>
      <c r="E70" t="n">
        <v>45342</v>
      </c>
      <c r="F70" t="inlineStr"/>
      <c r="G70" t="inlineStr"/>
      <c r="H70" t="inlineStr"/>
      <c r="I70" t="n">
        <v>12565366</v>
      </c>
      <c r="J70" t="inlineStr">
        <is>
          <t>MILOACTIV-GOWinner42(12x24g)PRPriceOffPH</t>
        </is>
      </c>
      <c r="K70" t="n">
        <v>0</v>
      </c>
      <c r="L70" t="inlineStr">
        <is>
          <t xml:space="preserve">CS </t>
        </is>
      </c>
      <c r="M70" t="inlineStr"/>
      <c r="N70" t="inlineStr">
        <is>
          <t xml:space="preserve">          </t>
        </is>
      </c>
      <c r="O70" t="inlineStr"/>
      <c r="P70" t="inlineStr"/>
      <c r="Q70" t="inlineStr"/>
      <c r="R70" t="inlineStr">
        <is>
          <t xml:space="preserve"> </t>
        </is>
      </c>
      <c r="S70" t="inlineStr"/>
    </row>
    <row r="71">
      <c r="A71" t="inlineStr">
        <is>
          <t xml:space="preserve">5432038   </t>
        </is>
      </c>
      <c r="B71" t="inlineStr">
        <is>
          <t xml:space="preserve">Fast Distribution Corporation      </t>
        </is>
      </c>
      <c r="C71" t="inlineStr">
        <is>
          <t xml:space="preserve">GBOR22024Wk8PD1MIL1                </t>
        </is>
      </c>
      <c r="D71" t="n">
        <v>4064867192</v>
      </c>
      <c r="E71" t="n">
        <v>45342</v>
      </c>
      <c r="F71" t="inlineStr"/>
      <c r="G71" t="inlineStr"/>
      <c r="H71" t="inlineStr"/>
      <c r="I71" t="n">
        <v>12565366</v>
      </c>
      <c r="J71" t="inlineStr">
        <is>
          <t>MILOACTIV-GOWinner42(12x24g)PRPriceOffPH</t>
        </is>
      </c>
      <c r="K71" t="n">
        <v>50</v>
      </c>
      <c r="L71" t="inlineStr">
        <is>
          <t xml:space="preserve">CS </t>
        </is>
      </c>
      <c r="M71" t="inlineStr"/>
      <c r="N71" t="inlineStr">
        <is>
          <t>40098985D1</t>
        </is>
      </c>
      <c r="O71" t="n">
        <v>45626</v>
      </c>
      <c r="P71" t="inlineStr"/>
      <c r="Q71" t="inlineStr"/>
      <c r="R71" t="inlineStr">
        <is>
          <t xml:space="preserve"> </t>
        </is>
      </c>
      <c r="S71" t="inlineStr"/>
    </row>
    <row r="72">
      <c r="A72" t="inlineStr">
        <is>
          <t xml:space="preserve">5432038   </t>
        </is>
      </c>
      <c r="B72" t="inlineStr">
        <is>
          <t xml:space="preserve">Fast Distribution Corporation      </t>
        </is>
      </c>
      <c r="C72" t="inlineStr">
        <is>
          <t xml:space="preserve">GBOR22024Wk8PD1MIL1                </t>
        </is>
      </c>
      <c r="D72" t="n">
        <v>4064867192</v>
      </c>
      <c r="E72" t="n">
        <v>45342</v>
      </c>
      <c r="F72" t="inlineStr"/>
      <c r="G72" t="inlineStr"/>
      <c r="H72" t="inlineStr"/>
      <c r="I72" t="n">
        <v>12565366</v>
      </c>
      <c r="J72" t="inlineStr">
        <is>
          <t>MILOACTIV-GOWinner42(12x24g)PRPriceOffPH</t>
        </is>
      </c>
      <c r="K72" t="n">
        <v>15</v>
      </c>
      <c r="L72" t="inlineStr">
        <is>
          <t xml:space="preserve">CS </t>
        </is>
      </c>
      <c r="M72" t="inlineStr"/>
      <c r="N72" t="inlineStr">
        <is>
          <t>40218985D1</t>
        </is>
      </c>
      <c r="O72" t="n">
        <v>45626</v>
      </c>
      <c r="P72" t="inlineStr"/>
      <c r="Q72" t="inlineStr"/>
      <c r="R72" t="inlineStr">
        <is>
          <t xml:space="preserve"> </t>
        </is>
      </c>
      <c r="S72" t="inlineStr"/>
    </row>
    <row r="73">
      <c r="A73" t="inlineStr">
        <is>
          <t>Ship To</t>
        </is>
      </c>
      <c r="B73" t="inlineStr">
        <is>
          <t>Ship To Name</t>
        </is>
      </c>
      <c r="C73" t="inlineStr">
        <is>
          <t>Purchase Order Number</t>
        </is>
      </c>
      <c r="D73" t="inlineStr">
        <is>
          <t>Sales Order</t>
        </is>
      </c>
      <c r="E73" t="inlineStr">
        <is>
          <t>Requested Delivery Date</t>
        </is>
      </c>
      <c r="F73" t="inlineStr">
        <is>
          <t>SYSPRO Purchase Order</t>
        </is>
      </c>
      <c r="G73" t="inlineStr">
        <is>
          <t>Line Number</t>
        </is>
      </c>
      <c r="H73" t="inlineStr">
        <is>
          <t>Warehouse</t>
        </is>
      </c>
      <c r="I73" t="inlineStr">
        <is>
          <t>Material</t>
        </is>
      </c>
      <c r="J73" t="inlineStr">
        <is>
          <t>Material Description</t>
        </is>
      </c>
      <c r="K73" t="inlineStr">
        <is>
          <t>Delivery Quantity</t>
        </is>
      </c>
      <c r="L73" t="inlineStr">
        <is>
          <t>Delivery Unit</t>
        </is>
      </c>
      <c r="M73" t="inlineStr">
        <is>
          <t>Bin Location</t>
        </is>
      </c>
      <c r="N73" t="inlineStr">
        <is>
          <t>Batch Code</t>
        </is>
      </c>
      <c r="O73" t="inlineStr">
        <is>
          <t>Batch Expiration Date</t>
        </is>
      </c>
      <c r="P73" t="inlineStr">
        <is>
          <t>Reference/GRN</t>
        </is>
      </c>
      <c r="Q73" t="inlineStr">
        <is>
          <t>Receipt Date</t>
        </is>
      </c>
      <c r="R73" t="inlineStr">
        <is>
          <t>Batch Status</t>
        </is>
      </c>
      <c r="S73" t="inlineStr">
        <is>
          <t>Expected Release Date</t>
        </is>
      </c>
    </row>
    <row r="74">
      <c r="A74" t="inlineStr">
        <is>
          <t xml:space="preserve">5432038   </t>
        </is>
      </c>
      <c r="B74" t="inlineStr">
        <is>
          <t xml:space="preserve">Fast Distribution Corporation      </t>
        </is>
      </c>
      <c r="C74" t="inlineStr">
        <is>
          <t xml:space="preserve">GBOR2062024NIN2                    </t>
        </is>
      </c>
      <c r="D74" t="n">
        <v>4064862530</v>
      </c>
      <c r="E74" t="n">
        <v>45342</v>
      </c>
      <c r="F74" t="inlineStr"/>
      <c r="G74" t="inlineStr"/>
      <c r="H74" t="inlineStr"/>
      <c r="I74" t="n">
        <v>12562968</v>
      </c>
      <c r="J74" t="inlineStr">
        <is>
          <t xml:space="preserve">NIDO JR PHJNFB057-1 BIB20x400g PH       </t>
        </is>
      </c>
      <c r="K74" t="n">
        <v>9</v>
      </c>
      <c r="L74" t="inlineStr">
        <is>
          <t xml:space="preserve">CS </t>
        </is>
      </c>
      <c r="M74" t="inlineStr"/>
      <c r="N74" t="inlineStr">
        <is>
          <t>402601895B</t>
        </is>
      </c>
      <c r="O74" t="n">
        <v>45777</v>
      </c>
      <c r="P74" t="inlineStr"/>
      <c r="Q74" t="inlineStr"/>
      <c r="R74" t="inlineStr">
        <is>
          <t xml:space="preserve"> </t>
        </is>
      </c>
      <c r="S74" t="inlineStr"/>
    </row>
    <row r="75">
      <c r="A75" t="inlineStr">
        <is>
          <t>Ship To</t>
        </is>
      </c>
      <c r="B75" t="inlineStr">
        <is>
          <t>Ship To Name</t>
        </is>
      </c>
      <c r="C75" t="inlineStr">
        <is>
          <t>Purchase Order Number</t>
        </is>
      </c>
      <c r="D75" t="inlineStr">
        <is>
          <t>Sales Order</t>
        </is>
      </c>
      <c r="E75" t="inlineStr">
        <is>
          <t>Requested Delivery Date</t>
        </is>
      </c>
      <c r="F75" t="inlineStr">
        <is>
          <t>SYSPRO Purchase Order</t>
        </is>
      </c>
      <c r="G75" t="inlineStr">
        <is>
          <t>Line Number</t>
        </is>
      </c>
      <c r="H75" t="inlineStr">
        <is>
          <t>Warehouse</t>
        </is>
      </c>
      <c r="I75" t="inlineStr">
        <is>
          <t>Material</t>
        </is>
      </c>
      <c r="J75" t="inlineStr">
        <is>
          <t>Material Description</t>
        </is>
      </c>
      <c r="K75" t="inlineStr">
        <is>
          <t>Delivery Quantity</t>
        </is>
      </c>
      <c r="L75" t="inlineStr">
        <is>
          <t>Delivery Unit</t>
        </is>
      </c>
      <c r="M75" t="inlineStr">
        <is>
          <t>Bin Location</t>
        </is>
      </c>
      <c r="N75" t="inlineStr">
        <is>
          <t>Batch Code</t>
        </is>
      </c>
      <c r="O75" t="inlineStr">
        <is>
          <t>Batch Expiration Date</t>
        </is>
      </c>
      <c r="P75" t="inlineStr">
        <is>
          <t>Reference/GRN</t>
        </is>
      </c>
      <c r="Q75" t="inlineStr">
        <is>
          <t>Receipt Date</t>
        </is>
      </c>
      <c r="R75" t="inlineStr">
        <is>
          <t>Batch Status</t>
        </is>
      </c>
      <c r="S75" t="inlineStr">
        <is>
          <t>Expected Release Date</t>
        </is>
      </c>
    </row>
    <row r="76">
      <c r="A76" t="inlineStr">
        <is>
          <t xml:space="preserve">5432038   </t>
        </is>
      </c>
      <c r="B76" t="inlineStr">
        <is>
          <t xml:space="preserve">Fast Distribution Corporation      </t>
        </is>
      </c>
      <c r="C76" t="inlineStr">
        <is>
          <t xml:space="preserve">WBOR21324BNA1502                   </t>
        </is>
      </c>
      <c r="D76" t="n">
        <v>4064963386</v>
      </c>
      <c r="E76" t="n">
        <v>45342</v>
      </c>
      <c r="F76" t="inlineStr"/>
      <c r="G76" t="inlineStr"/>
      <c r="H76" t="inlineStr"/>
      <c r="I76" t="n">
        <v>12530636</v>
      </c>
      <c r="J76" t="inlineStr">
        <is>
          <t xml:space="preserve">BONNA 24x150g N1 PH                     </t>
        </is>
      </c>
      <c r="K76" t="n">
        <v>12</v>
      </c>
      <c r="L76" t="inlineStr">
        <is>
          <t xml:space="preserve">CS </t>
        </is>
      </c>
      <c r="M76" t="inlineStr"/>
      <c r="N76" t="inlineStr">
        <is>
          <t xml:space="preserve">402973513 </t>
        </is>
      </c>
      <c r="O76" t="n">
        <v>45961</v>
      </c>
      <c r="P76" t="inlineStr"/>
      <c r="Q76" t="inlineStr"/>
      <c r="R76" t="inlineStr">
        <is>
          <t xml:space="preserve"> </t>
        </is>
      </c>
      <c r="S76" t="inlineStr"/>
    </row>
    <row r="77">
      <c r="A77" t="inlineStr">
        <is>
          <t>Ship To</t>
        </is>
      </c>
      <c r="B77" t="inlineStr">
        <is>
          <t>Ship To Name</t>
        </is>
      </c>
      <c r="C77" t="inlineStr">
        <is>
          <t>Purchase Order Number</t>
        </is>
      </c>
      <c r="D77" t="inlineStr">
        <is>
          <t>Sales Order</t>
        </is>
      </c>
      <c r="E77" t="inlineStr">
        <is>
          <t>Requested Delivery Date</t>
        </is>
      </c>
      <c r="F77" t="inlineStr">
        <is>
          <t>SYSPRO Purchase Order</t>
        </is>
      </c>
      <c r="G77" t="inlineStr">
        <is>
          <t>Line Number</t>
        </is>
      </c>
      <c r="H77" t="inlineStr">
        <is>
          <t>Warehouse</t>
        </is>
      </c>
      <c r="I77" t="inlineStr">
        <is>
          <t>Material</t>
        </is>
      </c>
      <c r="J77" t="inlineStr">
        <is>
          <t>Material Description</t>
        </is>
      </c>
      <c r="K77" t="inlineStr">
        <is>
          <t>Delivery Quantity</t>
        </is>
      </c>
      <c r="L77" t="inlineStr">
        <is>
          <t>Delivery Unit</t>
        </is>
      </c>
      <c r="M77" t="inlineStr">
        <is>
          <t>Bin Location</t>
        </is>
      </c>
      <c r="N77" t="inlineStr">
        <is>
          <t>Batch Code</t>
        </is>
      </c>
      <c r="O77" t="inlineStr">
        <is>
          <t>Batch Expiration Date</t>
        </is>
      </c>
      <c r="P77" t="inlineStr">
        <is>
          <t>Reference/GRN</t>
        </is>
      </c>
      <c r="Q77" t="inlineStr">
        <is>
          <t>Receipt Date</t>
        </is>
      </c>
      <c r="R77" t="inlineStr">
        <is>
          <t>Batch Status</t>
        </is>
      </c>
      <c r="S77" t="inlineStr">
        <is>
          <t>Expected Release Date</t>
        </is>
      </c>
    </row>
    <row r="78">
      <c r="A78" t="inlineStr">
        <is>
          <t xml:space="preserve">5432038   </t>
        </is>
      </c>
      <c r="B78" t="inlineStr">
        <is>
          <t xml:space="preserve">Fast Distribution Corporation      </t>
        </is>
      </c>
      <c r="C78" t="inlineStr">
        <is>
          <t xml:space="preserve">GBOR21324PLCRM12                   </t>
        </is>
      </c>
      <c r="D78" t="n">
        <v>4064919621</v>
      </c>
      <c r="E78" t="n">
        <v>45342</v>
      </c>
      <c r="F78" t="inlineStr"/>
      <c r="G78" t="inlineStr"/>
      <c r="H78" t="inlineStr"/>
      <c r="I78" t="n">
        <v>12489220</v>
      </c>
      <c r="J78" t="inlineStr">
        <is>
          <t xml:space="preserve">NESTLE All Purpose Cream 24x250ml N3 PH </t>
        </is>
      </c>
      <c r="K78" t="n">
        <v>8</v>
      </c>
      <c r="L78" t="inlineStr">
        <is>
          <t xml:space="preserve">CS </t>
        </is>
      </c>
      <c r="M78" t="inlineStr"/>
      <c r="N78" t="inlineStr">
        <is>
          <t>400864382A</t>
        </is>
      </c>
      <c r="O78" t="n">
        <v>45657</v>
      </c>
      <c r="P78" t="inlineStr"/>
      <c r="Q78" t="inlineStr"/>
      <c r="R78" t="inlineStr">
        <is>
          <t xml:space="preserve"> </t>
        </is>
      </c>
      <c r="S78" t="inlineStr"/>
    </row>
    <row r="79">
      <c r="A79" t="inlineStr">
        <is>
          <t>Ship To</t>
        </is>
      </c>
      <c r="B79" t="inlineStr">
        <is>
          <t>Ship To Name</t>
        </is>
      </c>
      <c r="C79" t="inlineStr">
        <is>
          <t>Purchase Order Number</t>
        </is>
      </c>
      <c r="D79" t="inlineStr">
        <is>
          <t>Sales Order</t>
        </is>
      </c>
      <c r="E79" t="inlineStr">
        <is>
          <t>Requested Delivery Date</t>
        </is>
      </c>
      <c r="F79" t="inlineStr">
        <is>
          <t>SYSPRO Purchase Order</t>
        </is>
      </c>
      <c r="G79" t="inlineStr">
        <is>
          <t>Line Number</t>
        </is>
      </c>
      <c r="H79" t="inlineStr">
        <is>
          <t>Warehouse</t>
        </is>
      </c>
      <c r="I79" t="inlineStr">
        <is>
          <t>Material</t>
        </is>
      </c>
      <c r="J79" t="inlineStr">
        <is>
          <t>Material Description</t>
        </is>
      </c>
      <c r="K79" t="inlineStr">
        <is>
          <t>Delivery Quantity</t>
        </is>
      </c>
      <c r="L79" t="inlineStr">
        <is>
          <t>Delivery Unit</t>
        </is>
      </c>
      <c r="M79" t="inlineStr">
        <is>
          <t>Bin Location</t>
        </is>
      </c>
      <c r="N79" t="inlineStr">
        <is>
          <t>Batch Code</t>
        </is>
      </c>
      <c r="O79" t="inlineStr">
        <is>
          <t>Batch Expiration Date</t>
        </is>
      </c>
      <c r="P79" t="inlineStr">
        <is>
          <t>Reference/GRN</t>
        </is>
      </c>
      <c r="Q79" t="inlineStr">
        <is>
          <t>Receipt Date</t>
        </is>
      </c>
      <c r="R79" t="inlineStr">
        <is>
          <t>Batch Status</t>
        </is>
      </c>
      <c r="S79" t="inlineStr">
        <is>
          <t>Expected Release Date</t>
        </is>
      </c>
    </row>
    <row r="80">
      <c r="A80" t="inlineStr">
        <is>
          <t xml:space="preserve">5432038   </t>
        </is>
      </c>
      <c r="B80" t="inlineStr">
        <is>
          <t xml:space="preserve">Fast Distribution Corporation      </t>
        </is>
      </c>
      <c r="C80" t="inlineStr">
        <is>
          <t xml:space="preserve">GBOR21324NPRO1                     </t>
        </is>
      </c>
      <c r="D80" t="n">
        <v>4064962618</v>
      </c>
      <c r="E80" t="n">
        <v>45342</v>
      </c>
      <c r="F80" t="inlineStr"/>
      <c r="G80" t="inlineStr"/>
      <c r="H80" t="inlineStr"/>
      <c r="I80" t="n">
        <v>12508020</v>
      </c>
      <c r="J80" t="inlineStr">
        <is>
          <t xml:space="preserve">NESTLENProPinkLycheeLemonade12x200gN2PH </t>
        </is>
      </c>
      <c r="K80" t="n">
        <v>1</v>
      </c>
      <c r="L80" t="inlineStr">
        <is>
          <t xml:space="preserve">CS </t>
        </is>
      </c>
      <c r="M80" t="inlineStr"/>
      <c r="N80" t="inlineStr">
        <is>
          <t>40110604B1</t>
        </is>
      </c>
      <c r="O80" t="n">
        <v>45688</v>
      </c>
      <c r="P80" t="inlineStr"/>
      <c r="Q80" t="inlineStr"/>
      <c r="R80" t="inlineStr">
        <is>
          <t xml:space="preserve"> </t>
        </is>
      </c>
      <c r="S80" t="inlineStr"/>
    </row>
    <row r="81">
      <c r="A81" t="inlineStr">
        <is>
          <t>Ship To</t>
        </is>
      </c>
      <c r="B81" t="inlineStr">
        <is>
          <t>Ship To Name</t>
        </is>
      </c>
      <c r="C81" t="inlineStr">
        <is>
          <t>Purchase Order Number</t>
        </is>
      </c>
      <c r="D81" t="inlineStr">
        <is>
          <t>Sales Order</t>
        </is>
      </c>
      <c r="E81" t="inlineStr">
        <is>
          <t>Requested Delivery Date</t>
        </is>
      </c>
      <c r="F81" t="inlineStr">
        <is>
          <t>SYSPRO Purchase Order</t>
        </is>
      </c>
      <c r="G81" t="inlineStr">
        <is>
          <t>Line Number</t>
        </is>
      </c>
      <c r="H81" t="inlineStr">
        <is>
          <t>Warehouse</t>
        </is>
      </c>
      <c r="I81" t="inlineStr">
        <is>
          <t>Material</t>
        </is>
      </c>
      <c r="J81" t="inlineStr">
        <is>
          <t>Material Description</t>
        </is>
      </c>
      <c r="K81" t="inlineStr">
        <is>
          <t>Delivery Quantity</t>
        </is>
      </c>
      <c r="L81" t="inlineStr">
        <is>
          <t>Delivery Unit</t>
        </is>
      </c>
      <c r="M81" t="inlineStr">
        <is>
          <t>Bin Location</t>
        </is>
      </c>
      <c r="N81" t="inlineStr">
        <is>
          <t>Batch Code</t>
        </is>
      </c>
      <c r="O81" t="inlineStr">
        <is>
          <t>Batch Expiration Date</t>
        </is>
      </c>
      <c r="P81" t="inlineStr">
        <is>
          <t>Reference/GRN</t>
        </is>
      </c>
      <c r="Q81" t="inlineStr">
        <is>
          <t>Receipt Date</t>
        </is>
      </c>
      <c r="R81" t="inlineStr">
        <is>
          <t>Batch Status</t>
        </is>
      </c>
      <c r="S81" t="inlineStr">
        <is>
          <t>Expected Release Date</t>
        </is>
      </c>
    </row>
    <row r="82">
      <c r="A82" t="inlineStr">
        <is>
          <t xml:space="preserve">5432038   </t>
        </is>
      </c>
      <c r="B82" t="inlineStr">
        <is>
          <t xml:space="preserve">Fast Distribution Corporation      </t>
        </is>
      </c>
      <c r="C82" t="inlineStr">
        <is>
          <t xml:space="preserve">GBOR21324RTDBC1                    </t>
        </is>
      </c>
      <c r="D82" t="n">
        <v>4064959584</v>
      </c>
      <c r="E82" t="n">
        <v>45342</v>
      </c>
      <c r="F82" t="inlineStr"/>
      <c r="G82" t="inlineStr"/>
      <c r="H82" t="inlineStr"/>
      <c r="I82" t="n">
        <v>12413317</v>
      </c>
      <c r="J82" t="inlineStr">
        <is>
          <t xml:space="preserve">NESTLE CHUCKIE Opti-Grow 12x1L N1 PH    </t>
        </is>
      </c>
      <c r="K82" t="n">
        <v>4</v>
      </c>
      <c r="L82" t="inlineStr">
        <is>
          <t xml:space="preserve">CS </t>
        </is>
      </c>
      <c r="M82" t="inlineStr"/>
      <c r="N82" t="inlineStr">
        <is>
          <t>40120189YE</t>
        </is>
      </c>
      <c r="O82" t="n">
        <v>45626</v>
      </c>
      <c r="P82" t="inlineStr"/>
      <c r="Q82" t="inlineStr"/>
      <c r="R82" t="inlineStr">
        <is>
          <t xml:space="preserve"> </t>
        </is>
      </c>
      <c r="S82" t="inlineStr"/>
    </row>
    <row r="83">
      <c r="A83" t="inlineStr">
        <is>
          <t xml:space="preserve">5432038   </t>
        </is>
      </c>
      <c r="B83" t="inlineStr">
        <is>
          <t xml:space="preserve">Fast Distribution Corporation      </t>
        </is>
      </c>
      <c r="C83" t="inlineStr">
        <is>
          <t xml:space="preserve">GBOR21324RTDBC1                    </t>
        </is>
      </c>
      <c r="D83" t="n">
        <v>4064959584</v>
      </c>
      <c r="E83" t="n">
        <v>45342</v>
      </c>
      <c r="F83" t="inlineStr"/>
      <c r="G83" t="inlineStr"/>
      <c r="H83" t="inlineStr"/>
      <c r="I83" t="n">
        <v>12470863</v>
      </c>
      <c r="J83" t="inlineStr">
        <is>
          <t>CHUCKIE Opti-Grow10(6x110ml)BaonSaversPH</t>
        </is>
      </c>
      <c r="K83" t="n">
        <v>16</v>
      </c>
      <c r="L83" t="inlineStr">
        <is>
          <t xml:space="preserve">CS </t>
        </is>
      </c>
      <c r="M83" t="inlineStr"/>
      <c r="N83" t="inlineStr">
        <is>
          <t>33500189LD</t>
        </is>
      </c>
      <c r="O83" t="n">
        <v>45596</v>
      </c>
      <c r="P83" t="inlineStr"/>
      <c r="Q83" t="inlineStr"/>
      <c r="R83" t="inlineStr">
        <is>
          <t xml:space="preserve"> </t>
        </is>
      </c>
      <c r="S83" t="inlineStr"/>
    </row>
    <row r="84">
      <c r="A84" t="inlineStr">
        <is>
          <t xml:space="preserve">5432038   </t>
        </is>
      </c>
      <c r="B84" t="inlineStr">
        <is>
          <t xml:space="preserve">Fast Distribution Corporation      </t>
        </is>
      </c>
      <c r="C84" t="inlineStr">
        <is>
          <t xml:space="preserve">GBOR21324RTDBC1                    </t>
        </is>
      </c>
      <c r="D84" t="n">
        <v>4064959584</v>
      </c>
      <c r="E84" t="n">
        <v>45342</v>
      </c>
      <c r="F84" t="inlineStr"/>
      <c r="G84" t="inlineStr"/>
      <c r="H84" t="inlineStr"/>
      <c r="I84" t="n">
        <v>12498699</v>
      </c>
      <c r="J84" t="inlineStr">
        <is>
          <t>CHUCKIE Opti-Grow 6(6x180ml)SaversPackPH</t>
        </is>
      </c>
      <c r="K84" t="n">
        <v>0</v>
      </c>
      <c r="L84" t="inlineStr">
        <is>
          <t xml:space="preserve">CS </t>
        </is>
      </c>
      <c r="M84" t="inlineStr"/>
      <c r="N84" t="inlineStr">
        <is>
          <t xml:space="preserve">          </t>
        </is>
      </c>
      <c r="O84" t="inlineStr"/>
      <c r="P84" t="inlineStr"/>
      <c r="Q84" t="inlineStr"/>
      <c r="R84" t="inlineStr">
        <is>
          <t xml:space="preserve"> </t>
        </is>
      </c>
      <c r="S84" t="inlineStr"/>
    </row>
    <row r="85">
      <c r="A85" t="inlineStr">
        <is>
          <t xml:space="preserve">5432038   </t>
        </is>
      </c>
      <c r="B85" t="inlineStr">
        <is>
          <t xml:space="preserve">Fast Distribution Corporation      </t>
        </is>
      </c>
      <c r="C85" t="inlineStr">
        <is>
          <t xml:space="preserve">GBOR21324RTDBC1                    </t>
        </is>
      </c>
      <c r="D85" t="n">
        <v>4064959584</v>
      </c>
      <c r="E85" t="n">
        <v>45342</v>
      </c>
      <c r="F85" t="inlineStr"/>
      <c r="G85" t="inlineStr"/>
      <c r="H85" t="inlineStr"/>
      <c r="I85" t="n">
        <v>12498699</v>
      </c>
      <c r="J85" t="inlineStr">
        <is>
          <t>CHUCKIE Opti-Grow 6(6x180ml)SaversPackPH</t>
        </is>
      </c>
      <c r="K85" t="n">
        <v>23</v>
      </c>
      <c r="L85" t="inlineStr">
        <is>
          <t xml:space="preserve">CS </t>
        </is>
      </c>
      <c r="M85" t="inlineStr"/>
      <c r="N85" t="inlineStr">
        <is>
          <t>33420189FD</t>
        </is>
      </c>
      <c r="O85" t="n">
        <v>45596</v>
      </c>
      <c r="P85" t="inlineStr"/>
      <c r="Q85" t="inlineStr"/>
      <c r="R85" t="inlineStr">
        <is>
          <t xml:space="preserve"> </t>
        </is>
      </c>
      <c r="S85" t="inlineStr"/>
    </row>
    <row r="86">
      <c r="A86" t="inlineStr">
        <is>
          <t xml:space="preserve">5432038   </t>
        </is>
      </c>
      <c r="B86" t="inlineStr">
        <is>
          <t xml:space="preserve">Fast Distribution Corporation      </t>
        </is>
      </c>
      <c r="C86" t="inlineStr">
        <is>
          <t xml:space="preserve">GBOR21324RTDBC1                    </t>
        </is>
      </c>
      <c r="D86" t="n">
        <v>4064959584</v>
      </c>
      <c r="E86" t="n">
        <v>45342</v>
      </c>
      <c r="F86" t="inlineStr"/>
      <c r="G86" t="inlineStr"/>
      <c r="H86" t="inlineStr"/>
      <c r="I86" t="n">
        <v>12498699</v>
      </c>
      <c r="J86" t="inlineStr">
        <is>
          <t>CHUCKIE Opti-Grow 6(6x180ml)SaversPackPH</t>
        </is>
      </c>
      <c r="K86" t="n">
        <v>2</v>
      </c>
      <c r="L86" t="inlineStr">
        <is>
          <t xml:space="preserve">CS </t>
        </is>
      </c>
      <c r="M86" t="inlineStr"/>
      <c r="N86" t="inlineStr">
        <is>
          <t>33570189FD</t>
        </is>
      </c>
      <c r="O86" t="n">
        <v>45596</v>
      </c>
      <c r="P86" t="inlineStr"/>
      <c r="Q86" t="inlineStr"/>
      <c r="R86" t="inlineStr">
        <is>
          <t xml:space="preserve"> </t>
        </is>
      </c>
      <c r="S86" t="inlineStr"/>
    </row>
    <row r="87">
      <c r="A87" t="inlineStr">
        <is>
          <t xml:space="preserve">5432038   </t>
        </is>
      </c>
      <c r="B87" t="inlineStr">
        <is>
          <t xml:space="preserve">Fast Distribution Corporation      </t>
        </is>
      </c>
      <c r="C87" t="inlineStr">
        <is>
          <t xml:space="preserve">GBOR21324RTDBC1                    </t>
        </is>
      </c>
      <c r="D87" t="n">
        <v>4064959584</v>
      </c>
      <c r="E87" t="n">
        <v>45342</v>
      </c>
      <c r="F87" t="inlineStr"/>
      <c r="G87" t="inlineStr"/>
      <c r="H87" t="inlineStr"/>
      <c r="I87" t="n">
        <v>12571148</v>
      </c>
      <c r="J87" t="inlineStr">
        <is>
          <t>CHUCKIE6(10x110ml)ShrinkWrap PRSave20 PH</t>
        </is>
      </c>
      <c r="K87" t="n">
        <v>0</v>
      </c>
      <c r="L87" t="inlineStr">
        <is>
          <t xml:space="preserve">CS </t>
        </is>
      </c>
      <c r="M87" t="inlineStr"/>
      <c r="N87" t="inlineStr">
        <is>
          <t xml:space="preserve">          </t>
        </is>
      </c>
      <c r="O87" t="inlineStr"/>
      <c r="P87" t="inlineStr"/>
      <c r="Q87" t="inlineStr"/>
      <c r="R87" t="inlineStr">
        <is>
          <t xml:space="preserve"> </t>
        </is>
      </c>
      <c r="S87" t="inlineStr"/>
    </row>
    <row r="88">
      <c r="A88" t="inlineStr">
        <is>
          <t xml:space="preserve">5432038   </t>
        </is>
      </c>
      <c r="B88" t="inlineStr">
        <is>
          <t xml:space="preserve">Fast Distribution Corporation      </t>
        </is>
      </c>
      <c r="C88" t="inlineStr">
        <is>
          <t xml:space="preserve">GBOR21324RTDBC1                    </t>
        </is>
      </c>
      <c r="D88" t="n">
        <v>4064959584</v>
      </c>
      <c r="E88" t="n">
        <v>45342</v>
      </c>
      <c r="F88" t="inlineStr"/>
      <c r="G88" t="inlineStr"/>
      <c r="H88" t="inlineStr"/>
      <c r="I88" t="n">
        <v>12571148</v>
      </c>
      <c r="J88" t="inlineStr">
        <is>
          <t>CHUCKIE6(10x110ml)ShrinkWrap PRSave20 PH</t>
        </is>
      </c>
      <c r="K88" t="n">
        <v>15</v>
      </c>
      <c r="L88" t="inlineStr">
        <is>
          <t xml:space="preserve">CS </t>
        </is>
      </c>
      <c r="M88" t="inlineStr"/>
      <c r="N88" t="inlineStr">
        <is>
          <t>400364383A</t>
        </is>
      </c>
      <c r="O88" t="n">
        <v>45626</v>
      </c>
      <c r="P88" t="inlineStr"/>
      <c r="Q88" t="inlineStr"/>
      <c r="R88" t="inlineStr">
        <is>
          <t xml:space="preserve"> </t>
        </is>
      </c>
      <c r="S88" t="inlineStr"/>
    </row>
    <row r="89">
      <c r="A89" t="inlineStr">
        <is>
          <t xml:space="preserve">5432038   </t>
        </is>
      </c>
      <c r="B89" t="inlineStr">
        <is>
          <t xml:space="preserve">Fast Distribution Corporation      </t>
        </is>
      </c>
      <c r="C89" t="inlineStr">
        <is>
          <t xml:space="preserve">GBOR21324RTDBC1                    </t>
        </is>
      </c>
      <c r="D89" t="n">
        <v>4064959584</v>
      </c>
      <c r="E89" t="n">
        <v>45342</v>
      </c>
      <c r="F89" t="inlineStr"/>
      <c r="G89" t="inlineStr"/>
      <c r="H89" t="inlineStr"/>
      <c r="I89" t="n">
        <v>12571148</v>
      </c>
      <c r="J89" t="inlineStr">
        <is>
          <t>CHUCKIE6(10x110ml)ShrinkWrap PRSave20 PH</t>
        </is>
      </c>
      <c r="K89" t="n">
        <v>11</v>
      </c>
      <c r="L89" t="inlineStr">
        <is>
          <t xml:space="preserve">CS </t>
        </is>
      </c>
      <c r="M89" t="inlineStr"/>
      <c r="N89" t="inlineStr">
        <is>
          <t>402364383A</t>
        </is>
      </c>
      <c r="O89" t="n">
        <v>45626</v>
      </c>
      <c r="P89" t="inlineStr"/>
      <c r="Q89" t="inlineStr"/>
      <c r="R89" t="inlineStr">
        <is>
          <t xml:space="preserve"> </t>
        </is>
      </c>
      <c r="S89" t="inlineStr"/>
    </row>
    <row r="90">
      <c r="A90" t="inlineStr">
        <is>
          <t>Ship To</t>
        </is>
      </c>
      <c r="B90" t="inlineStr">
        <is>
          <t>Ship To Name</t>
        </is>
      </c>
      <c r="C90" t="inlineStr">
        <is>
          <t>Purchase Order Number</t>
        </is>
      </c>
      <c r="D90" t="inlineStr">
        <is>
          <t>Sales Order</t>
        </is>
      </c>
      <c r="E90" t="inlineStr">
        <is>
          <t>Requested Delivery Date</t>
        </is>
      </c>
      <c r="F90" t="inlineStr">
        <is>
          <t>SYSPRO Purchase Order</t>
        </is>
      </c>
      <c r="G90" t="inlineStr">
        <is>
          <t>Line Number</t>
        </is>
      </c>
      <c r="H90" t="inlineStr">
        <is>
          <t>Warehouse</t>
        </is>
      </c>
      <c r="I90" t="inlineStr">
        <is>
          <t>Material</t>
        </is>
      </c>
      <c r="J90" t="inlineStr">
        <is>
          <t>Material Description</t>
        </is>
      </c>
      <c r="K90" t="inlineStr">
        <is>
          <t>Delivery Quantity</t>
        </is>
      </c>
      <c r="L90" t="inlineStr">
        <is>
          <t>Delivery Unit</t>
        </is>
      </c>
      <c r="M90" t="inlineStr">
        <is>
          <t>Bin Location</t>
        </is>
      </c>
      <c r="N90" t="inlineStr">
        <is>
          <t>Batch Code</t>
        </is>
      </c>
      <c r="O90" t="inlineStr">
        <is>
          <t>Batch Expiration Date</t>
        </is>
      </c>
      <c r="P90" t="inlineStr">
        <is>
          <t>Reference/GRN</t>
        </is>
      </c>
      <c r="Q90" t="inlineStr">
        <is>
          <t>Receipt Date</t>
        </is>
      </c>
      <c r="R90" t="inlineStr">
        <is>
          <t>Batch Status</t>
        </is>
      </c>
      <c r="S90" t="inlineStr">
        <is>
          <t>Expected Release Date</t>
        </is>
      </c>
    </row>
    <row r="91">
      <c r="A91" t="inlineStr">
        <is>
          <t xml:space="preserve">5432038   </t>
        </is>
      </c>
      <c r="B91" t="inlineStr">
        <is>
          <t xml:space="preserve">Fast Distribution Corporation      </t>
        </is>
      </c>
      <c r="C91" t="inlineStr">
        <is>
          <t xml:space="preserve">GBOR21324PLCRM11                   </t>
        </is>
      </c>
      <c r="D91" t="n">
        <v>4064958219</v>
      </c>
      <c r="E91" t="n">
        <v>45342</v>
      </c>
      <c r="F91" t="inlineStr"/>
      <c r="G91" t="inlineStr"/>
      <c r="H91" t="inlineStr"/>
      <c r="I91" t="n">
        <v>12489220</v>
      </c>
      <c r="J91" t="inlineStr">
        <is>
          <t xml:space="preserve">NESTLE All Purpose Cream 24x250ml N3 PH </t>
        </is>
      </c>
      <c r="K91" t="n">
        <v>100</v>
      </c>
      <c r="L91" t="inlineStr">
        <is>
          <t xml:space="preserve">CS </t>
        </is>
      </c>
      <c r="M91" t="inlineStr"/>
      <c r="N91" t="inlineStr">
        <is>
          <t>400864382A</t>
        </is>
      </c>
      <c r="O91" t="n">
        <v>45657</v>
      </c>
      <c r="P91" t="inlineStr"/>
      <c r="Q91" t="inlineStr"/>
      <c r="R91" t="inlineStr">
        <is>
          <t xml:space="preserve"> </t>
        </is>
      </c>
      <c r="S91" t="inlineStr"/>
    </row>
    <row r="92">
      <c r="A92" t="inlineStr">
        <is>
          <t>Ship To</t>
        </is>
      </c>
      <c r="B92" t="inlineStr">
        <is>
          <t>Ship To Name</t>
        </is>
      </c>
      <c r="C92" t="inlineStr">
        <is>
          <t>Purchase Order Number</t>
        </is>
      </c>
      <c r="D92" t="inlineStr">
        <is>
          <t>Sales Order</t>
        </is>
      </c>
      <c r="E92" t="inlineStr">
        <is>
          <t>Requested Delivery Date</t>
        </is>
      </c>
      <c r="F92" t="inlineStr">
        <is>
          <t>SYSPRO Purchase Order</t>
        </is>
      </c>
      <c r="G92" t="inlineStr">
        <is>
          <t>Line Number</t>
        </is>
      </c>
      <c r="H92" t="inlineStr">
        <is>
          <t>Warehouse</t>
        </is>
      </c>
      <c r="I92" t="inlineStr">
        <is>
          <t>Material</t>
        </is>
      </c>
      <c r="J92" t="inlineStr">
        <is>
          <t>Material Description</t>
        </is>
      </c>
      <c r="K92" t="inlineStr">
        <is>
          <t>Delivery Quantity</t>
        </is>
      </c>
      <c r="L92" t="inlineStr">
        <is>
          <t>Delivery Unit</t>
        </is>
      </c>
      <c r="M92" t="inlineStr">
        <is>
          <t>Bin Location</t>
        </is>
      </c>
      <c r="N92" t="inlineStr">
        <is>
          <t>Batch Code</t>
        </is>
      </c>
      <c r="O92" t="inlineStr">
        <is>
          <t>Batch Expiration Date</t>
        </is>
      </c>
      <c r="P92" t="inlineStr">
        <is>
          <t>Reference/GRN</t>
        </is>
      </c>
      <c r="Q92" t="inlineStr">
        <is>
          <t>Receipt Date</t>
        </is>
      </c>
      <c r="R92" t="inlineStr">
        <is>
          <t>Batch Status</t>
        </is>
      </c>
      <c r="S92" t="inlineStr">
        <is>
          <t>Expected Release Date</t>
        </is>
      </c>
    </row>
    <row r="93">
      <c r="A93" t="inlineStr">
        <is>
          <t xml:space="preserve">5432038   </t>
        </is>
      </c>
      <c r="B93" t="inlineStr">
        <is>
          <t xml:space="preserve">Fast Distribution Corporation      </t>
        </is>
      </c>
      <c r="C93" t="inlineStr">
        <is>
          <t xml:space="preserve">GBOR21324PLMXS9                    </t>
        </is>
      </c>
      <c r="D93" t="n">
        <v>4064958189</v>
      </c>
      <c r="E93" t="n">
        <v>45342</v>
      </c>
      <c r="F93" t="inlineStr"/>
      <c r="G93" t="inlineStr"/>
      <c r="H93" t="inlineStr"/>
      <c r="I93" t="n">
        <v>12531524</v>
      </c>
      <c r="J93" t="inlineStr">
        <is>
          <t>NESCAFE Creamy White Twinpack 200x51g PH</t>
        </is>
      </c>
      <c r="K93" t="n">
        <v>115</v>
      </c>
      <c r="L93" t="inlineStr">
        <is>
          <t xml:space="preserve">CS </t>
        </is>
      </c>
      <c r="M93" t="inlineStr"/>
      <c r="N93" t="inlineStr">
        <is>
          <t>33610597U1</t>
        </is>
      </c>
      <c r="O93" t="n">
        <v>45657</v>
      </c>
      <c r="P93" t="inlineStr"/>
      <c r="Q93" t="inlineStr"/>
      <c r="R93" t="inlineStr">
        <is>
          <t xml:space="preserve"> </t>
        </is>
      </c>
      <c r="S93" t="inlineStr"/>
    </row>
    <row r="94">
      <c r="A94" t="inlineStr">
        <is>
          <t>Ship To</t>
        </is>
      </c>
      <c r="B94" t="inlineStr">
        <is>
          <t>Ship To Name</t>
        </is>
      </c>
      <c r="C94" t="inlineStr">
        <is>
          <t>Purchase Order Number</t>
        </is>
      </c>
      <c r="D94" t="inlineStr">
        <is>
          <t>Sales Order</t>
        </is>
      </c>
      <c r="E94" t="inlineStr">
        <is>
          <t>Requested Delivery Date</t>
        </is>
      </c>
      <c r="F94" t="inlineStr">
        <is>
          <t>SYSPRO Purchase Order</t>
        </is>
      </c>
      <c r="G94" t="inlineStr">
        <is>
          <t>Line Number</t>
        </is>
      </c>
      <c r="H94" t="inlineStr">
        <is>
          <t>Warehouse</t>
        </is>
      </c>
      <c r="I94" t="inlineStr">
        <is>
          <t>Material</t>
        </is>
      </c>
      <c r="J94" t="inlineStr">
        <is>
          <t>Material Description</t>
        </is>
      </c>
      <c r="K94" t="inlineStr">
        <is>
          <t>Delivery Quantity</t>
        </is>
      </c>
      <c r="L94" t="inlineStr">
        <is>
          <t>Delivery Unit</t>
        </is>
      </c>
      <c r="M94" t="inlineStr">
        <is>
          <t>Bin Location</t>
        </is>
      </c>
      <c r="N94" t="inlineStr">
        <is>
          <t>Batch Code</t>
        </is>
      </c>
      <c r="O94" t="inlineStr">
        <is>
          <t>Batch Expiration Date</t>
        </is>
      </c>
      <c r="P94" t="inlineStr">
        <is>
          <t>Reference/GRN</t>
        </is>
      </c>
      <c r="Q94" t="inlineStr">
        <is>
          <t>Receipt Date</t>
        </is>
      </c>
      <c r="R94" t="inlineStr">
        <is>
          <t>Batch Status</t>
        </is>
      </c>
      <c r="S94" t="inlineStr">
        <is>
          <t>Expected Release Date</t>
        </is>
      </c>
    </row>
    <row r="95">
      <c r="A95" t="inlineStr">
        <is>
          <t xml:space="preserve">5432038   </t>
        </is>
      </c>
      <c r="B95" t="inlineStr">
        <is>
          <t xml:space="preserve">Fast Distribution Corporation      </t>
        </is>
      </c>
      <c r="C95" t="inlineStr">
        <is>
          <t xml:space="preserve">WBOR21324BNA62                     </t>
        </is>
      </c>
      <c r="D95" t="n">
        <v>4064976963</v>
      </c>
      <c r="E95" t="n">
        <v>45342</v>
      </c>
      <c r="F95" t="inlineStr"/>
      <c r="G95" t="inlineStr"/>
      <c r="H95" t="inlineStr"/>
      <c r="I95" t="n">
        <v>12530637</v>
      </c>
      <c r="J95" t="inlineStr">
        <is>
          <t xml:space="preserve">BONNA 6x1.2kg PH                        </t>
        </is>
      </c>
      <c r="K95" t="n">
        <v>5</v>
      </c>
      <c r="L95" t="inlineStr">
        <is>
          <t xml:space="preserve">CS </t>
        </is>
      </c>
      <c r="M95" t="inlineStr"/>
      <c r="N95" t="inlineStr">
        <is>
          <t>4021735141</t>
        </is>
      </c>
      <c r="O95" t="n">
        <v>45961</v>
      </c>
      <c r="P95" t="inlineStr"/>
      <c r="Q95" t="inlineStr"/>
      <c r="R95" t="inlineStr">
        <is>
          <t xml:space="preserve"> </t>
        </is>
      </c>
      <c r="S95" t="inlineStr"/>
    </row>
    <row r="96">
      <c r="A96" t="inlineStr">
        <is>
          <t>Ship To</t>
        </is>
      </c>
      <c r="B96" t="inlineStr">
        <is>
          <t>Ship To Name</t>
        </is>
      </c>
      <c r="C96" t="inlineStr">
        <is>
          <t>Purchase Order Number</t>
        </is>
      </c>
      <c r="D96" t="inlineStr">
        <is>
          <t>Sales Order</t>
        </is>
      </c>
      <c r="E96" t="inlineStr">
        <is>
          <t>Requested Delivery Date</t>
        </is>
      </c>
      <c r="F96" t="inlineStr">
        <is>
          <t>SYSPRO Purchase Order</t>
        </is>
      </c>
      <c r="G96" t="inlineStr">
        <is>
          <t>Line Number</t>
        </is>
      </c>
      <c r="H96" t="inlineStr">
        <is>
          <t>Warehouse</t>
        </is>
      </c>
      <c r="I96" t="inlineStr">
        <is>
          <t>Material</t>
        </is>
      </c>
      <c r="J96" t="inlineStr">
        <is>
          <t>Material Description</t>
        </is>
      </c>
      <c r="K96" t="inlineStr">
        <is>
          <t>Delivery Quantity</t>
        </is>
      </c>
      <c r="L96" t="inlineStr">
        <is>
          <t>Delivery Unit</t>
        </is>
      </c>
      <c r="M96" t="inlineStr">
        <is>
          <t>Bin Location</t>
        </is>
      </c>
      <c r="N96" t="inlineStr">
        <is>
          <t>Batch Code</t>
        </is>
      </c>
      <c r="O96" t="inlineStr">
        <is>
          <t>Batch Expiration Date</t>
        </is>
      </c>
      <c r="P96" t="inlineStr">
        <is>
          <t>Reference/GRN</t>
        </is>
      </c>
      <c r="Q96" t="inlineStr">
        <is>
          <t>Receipt Date</t>
        </is>
      </c>
      <c r="R96" t="inlineStr">
        <is>
          <t>Batch Status</t>
        </is>
      </c>
      <c r="S96" t="inlineStr">
        <is>
          <t>Expected Release Date</t>
        </is>
      </c>
    </row>
    <row r="97">
      <c r="A97" t="inlineStr">
        <is>
          <t xml:space="preserve">5432038   </t>
        </is>
      </c>
      <c r="B97" t="inlineStr">
        <is>
          <t xml:space="preserve">Fast Distribution Corporation      </t>
        </is>
      </c>
      <c r="C97" t="inlineStr">
        <is>
          <t xml:space="preserve">GBOR2062024PLCRM5                  </t>
        </is>
      </c>
      <c r="D97" t="n">
        <v>4064856562</v>
      </c>
      <c r="E97" t="n">
        <v>45342</v>
      </c>
      <c r="F97" t="inlineStr"/>
      <c r="G97" t="inlineStr"/>
      <c r="H97" t="inlineStr"/>
      <c r="I97" t="n">
        <v>12489220</v>
      </c>
      <c r="J97" t="inlineStr">
        <is>
          <t xml:space="preserve">NESTLE All Purpose Cream 24x250ml N3 PH </t>
        </is>
      </c>
      <c r="K97" t="n">
        <v>216</v>
      </c>
      <c r="L97" t="inlineStr">
        <is>
          <t xml:space="preserve">CS </t>
        </is>
      </c>
      <c r="M97" t="inlineStr"/>
      <c r="N97" t="inlineStr">
        <is>
          <t>400864381A</t>
        </is>
      </c>
      <c r="O97" t="n">
        <v>45657</v>
      </c>
      <c r="P97" t="inlineStr"/>
      <c r="Q97" t="inlineStr"/>
      <c r="R97" t="inlineStr">
        <is>
          <t xml:space="preserve"> </t>
        </is>
      </c>
      <c r="S97" t="inlineStr"/>
    </row>
    <row r="98">
      <c r="A98" t="inlineStr">
        <is>
          <t>Ship To</t>
        </is>
      </c>
      <c r="B98" t="inlineStr">
        <is>
          <t>Ship To Name</t>
        </is>
      </c>
      <c r="C98" t="inlineStr">
        <is>
          <t>Purchase Order Number</t>
        </is>
      </c>
      <c r="D98" t="inlineStr">
        <is>
          <t>Sales Order</t>
        </is>
      </c>
      <c r="E98" t="inlineStr">
        <is>
          <t>Requested Delivery Date</t>
        </is>
      </c>
      <c r="F98" t="inlineStr">
        <is>
          <t>SYSPRO Purchase Order</t>
        </is>
      </c>
      <c r="G98" t="inlineStr">
        <is>
          <t>Line Number</t>
        </is>
      </c>
      <c r="H98" t="inlineStr">
        <is>
          <t>Warehouse</t>
        </is>
      </c>
      <c r="I98" t="inlineStr">
        <is>
          <t>Material</t>
        </is>
      </c>
      <c r="J98" t="inlineStr">
        <is>
          <t>Material Description</t>
        </is>
      </c>
      <c r="K98" t="inlineStr">
        <is>
          <t>Delivery Quantity</t>
        </is>
      </c>
      <c r="L98" t="inlineStr">
        <is>
          <t>Delivery Unit</t>
        </is>
      </c>
      <c r="M98" t="inlineStr">
        <is>
          <t>Bin Location</t>
        </is>
      </c>
      <c r="N98" t="inlineStr">
        <is>
          <t>Batch Code</t>
        </is>
      </c>
      <c r="O98" t="inlineStr">
        <is>
          <t>Batch Expiration Date</t>
        </is>
      </c>
      <c r="P98" t="inlineStr">
        <is>
          <t>Reference/GRN</t>
        </is>
      </c>
      <c r="Q98" t="inlineStr">
        <is>
          <t>Receipt Date</t>
        </is>
      </c>
      <c r="R98" t="inlineStr">
        <is>
          <t>Batch Status</t>
        </is>
      </c>
      <c r="S98" t="inlineStr">
        <is>
          <t>Expected Release Date</t>
        </is>
      </c>
    </row>
    <row r="99">
      <c r="A99" t="inlineStr">
        <is>
          <t xml:space="preserve">5432038   </t>
        </is>
      </c>
      <c r="B99" t="inlineStr">
        <is>
          <t xml:space="preserve">Fast Distribution Corporation      </t>
        </is>
      </c>
      <c r="C99" t="inlineStr">
        <is>
          <t xml:space="preserve">GBOR21324Wk7PD1PWM1                </t>
        </is>
      </c>
      <c r="D99" t="n">
        <v>4064856049</v>
      </c>
      <c r="E99" t="n">
        <v>45342</v>
      </c>
      <c r="F99" t="inlineStr"/>
      <c r="G99" t="inlineStr"/>
      <c r="H99" t="inlineStr"/>
      <c r="I99" t="n">
        <v>12578169</v>
      </c>
      <c r="J99" t="inlineStr">
        <is>
          <t xml:space="preserve">BRBR CHOCO 24(7x29g) PRFrBRBRCHOCO29gPH </t>
        </is>
      </c>
      <c r="K99" t="n">
        <v>7</v>
      </c>
      <c r="L99" t="inlineStr">
        <is>
          <t xml:space="preserve">CS </t>
        </is>
      </c>
      <c r="M99" t="inlineStr"/>
      <c r="N99" t="inlineStr">
        <is>
          <t>40190189JA</t>
        </is>
      </c>
      <c r="O99" t="n">
        <v>45688</v>
      </c>
      <c r="P99" t="inlineStr"/>
      <c r="Q99" t="inlineStr"/>
      <c r="R99" t="inlineStr">
        <is>
          <t xml:space="preserve"> </t>
        </is>
      </c>
      <c r="S99" t="inlineStr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53"/>
  <sheetViews>
    <sheetView topLeftCell="A4" zoomScaleNormal="100" workbookViewId="0">
      <selection activeCell="D9" sqref="D9"/>
    </sheetView>
  </sheetViews>
  <sheetFormatPr baseColWidth="8" defaultRowHeight="15"/>
  <cols>
    <col width="23" customWidth="1" style="14" min="1" max="1"/>
    <col width="13.140625" bestFit="1" customWidth="1" style="2" min="2" max="2"/>
    <col width="41.85546875" bestFit="1" customWidth="1" style="12" min="3" max="3"/>
    <col width="21.28515625" bestFit="1" customWidth="1" style="2" min="4" max="4"/>
    <col width="13" bestFit="1" customWidth="1" style="1" min="5" max="5"/>
    <col width="15.42578125" bestFit="1" customWidth="1" style="2" min="6" max="6"/>
    <col width="14.5703125" bestFit="1" customWidth="1" style="5" min="7" max="7"/>
    <col width="11.140625" bestFit="1" customWidth="1" style="1" min="8" max="8"/>
    <col width="9.140625" customWidth="1" style="1" min="9" max="9"/>
    <col width="9.140625" customWidth="1" style="1" min="10" max="16384"/>
  </cols>
  <sheetData>
    <row r="1">
      <c r="A1" s="9" t="inlineStr">
        <is>
          <t>CHECKED BY:</t>
        </is>
      </c>
    </row>
    <row r="2">
      <c r="A2" s="9" t="inlineStr">
        <is>
          <t>PLATE NO:</t>
        </is>
      </c>
    </row>
    <row r="3">
      <c r="A3" s="9" t="inlineStr">
        <is>
          <t>DATE-TIME START-END UNLOADING:</t>
        </is>
      </c>
    </row>
    <row r="4" ht="45" customFormat="1" customHeight="1" s="3">
      <c r="A4" s="4">
        <f>DATA!C1</f>
        <v/>
      </c>
      <c r="B4" s="4">
        <f>DATA!I1</f>
        <v/>
      </c>
      <c r="C4" s="4">
        <f>DATA!J1</f>
        <v/>
      </c>
      <c r="D4" s="4">
        <f>DATA!K1</f>
        <v/>
      </c>
      <c r="E4" s="4">
        <f>DATA!M1</f>
        <v/>
      </c>
      <c r="F4" s="4">
        <f>DATA!N1</f>
        <v/>
      </c>
      <c r="G4" s="8">
        <f>DATA!O1</f>
        <v/>
      </c>
      <c r="H4" s="3" t="inlineStr">
        <is>
          <t>FILTER</t>
        </is>
      </c>
    </row>
    <row r="5">
      <c r="A5" s="7">
        <f>DATA!C2</f>
        <v/>
      </c>
      <c r="B5" s="10">
        <f>DATA!I2</f>
        <v/>
      </c>
      <c r="C5" s="7">
        <f>DATA!J2</f>
        <v/>
      </c>
      <c r="D5" s="13">
        <f>DATA!K2</f>
        <v/>
      </c>
      <c r="E5" s="7" t="n"/>
      <c r="F5" s="10">
        <f>DATA!N2</f>
        <v/>
      </c>
      <c r="G5" s="11">
        <f>DATA!O2</f>
        <v/>
      </c>
      <c r="H5" s="1" t="b">
        <v>1</v>
      </c>
    </row>
    <row r="6">
      <c r="A6" s="7">
        <f>DATA!C3</f>
        <v/>
      </c>
      <c r="B6" s="10">
        <f>DATA!I3</f>
        <v/>
      </c>
      <c r="C6" s="7">
        <f>DATA!J3</f>
        <v/>
      </c>
      <c r="D6" s="13">
        <f>DATA!K3</f>
        <v/>
      </c>
      <c r="E6" s="7" t="n"/>
      <c r="F6" s="10">
        <f>DATA!N3</f>
        <v/>
      </c>
      <c r="G6" s="11">
        <f>DATA!O3</f>
        <v/>
      </c>
      <c r="H6" s="1" t="b">
        <v>1</v>
      </c>
    </row>
    <row r="7">
      <c r="A7" s="7">
        <f>DATA!C4</f>
        <v/>
      </c>
      <c r="B7" s="10">
        <f>DATA!I4</f>
        <v/>
      </c>
      <c r="C7" s="7">
        <f>DATA!J4</f>
        <v/>
      </c>
      <c r="D7" s="13">
        <f>DATA!K4</f>
        <v/>
      </c>
      <c r="E7" s="7" t="n"/>
      <c r="F7" s="10">
        <f>DATA!N4</f>
        <v/>
      </c>
      <c r="G7" s="11">
        <f>DATA!O4</f>
        <v/>
      </c>
      <c r="H7" s="1" t="b">
        <v>1</v>
      </c>
    </row>
    <row r="8">
      <c r="A8" s="7">
        <f>DATA!C5</f>
        <v/>
      </c>
      <c r="B8" s="10">
        <f>DATA!I5</f>
        <v/>
      </c>
      <c r="C8" s="7">
        <f>DATA!J5</f>
        <v/>
      </c>
      <c r="D8" s="13">
        <f>DATA!K5</f>
        <v/>
      </c>
      <c r="E8" s="7" t="n"/>
      <c r="F8" s="10">
        <f>DATA!N5</f>
        <v/>
      </c>
      <c r="G8" s="11">
        <f>DATA!O5</f>
        <v/>
      </c>
      <c r="H8" s="1" t="b">
        <v>1</v>
      </c>
    </row>
    <row r="9">
      <c r="A9" s="7">
        <f>DATA!C6</f>
        <v/>
      </c>
      <c r="B9" s="10">
        <f>DATA!I6</f>
        <v/>
      </c>
      <c r="C9" s="7">
        <f>DATA!J6</f>
        <v/>
      </c>
      <c r="D9" s="13">
        <f>DATA!K6</f>
        <v/>
      </c>
      <c r="E9" s="7" t="n"/>
      <c r="F9" s="10">
        <f>DATA!N6</f>
        <v/>
      </c>
      <c r="G9" s="11">
        <f>DATA!O6</f>
        <v/>
      </c>
      <c r="H9" s="1" t="b">
        <v>1</v>
      </c>
    </row>
    <row r="10">
      <c r="A10" s="7">
        <f>DATA!C7</f>
        <v/>
      </c>
      <c r="B10" s="10">
        <f>DATA!I7</f>
        <v/>
      </c>
      <c r="C10" s="7">
        <f>DATA!J7</f>
        <v/>
      </c>
      <c r="D10" s="13">
        <f>DATA!K7</f>
        <v/>
      </c>
      <c r="E10" s="7" t="n"/>
      <c r="F10" s="10">
        <f>DATA!N7</f>
        <v/>
      </c>
      <c r="G10" s="11">
        <f>DATA!O7</f>
        <v/>
      </c>
      <c r="H10" s="1" t="b">
        <v>1</v>
      </c>
    </row>
    <row r="11">
      <c r="A11" s="7">
        <f>DATA!C8</f>
        <v/>
      </c>
      <c r="B11" s="10">
        <f>DATA!I8</f>
        <v/>
      </c>
      <c r="C11" s="7">
        <f>DATA!J8</f>
        <v/>
      </c>
      <c r="D11" s="13">
        <f>DATA!K8</f>
        <v/>
      </c>
      <c r="E11" s="7" t="n"/>
      <c r="F11" s="10">
        <f>DATA!N8</f>
        <v/>
      </c>
      <c r="G11" s="11">
        <f>DATA!O8</f>
        <v/>
      </c>
      <c r="H11" s="1" t="b">
        <v>1</v>
      </c>
    </row>
    <row r="12">
      <c r="A12" s="7">
        <f>DATA!C9</f>
        <v/>
      </c>
      <c r="B12" s="10">
        <f>DATA!I9</f>
        <v/>
      </c>
      <c r="C12" s="7">
        <f>DATA!J9</f>
        <v/>
      </c>
      <c r="D12" s="13">
        <f>DATA!K9</f>
        <v/>
      </c>
      <c r="E12" s="7" t="n"/>
      <c r="F12" s="10">
        <f>DATA!N9</f>
        <v/>
      </c>
      <c r="G12" s="11">
        <f>DATA!O9</f>
        <v/>
      </c>
      <c r="H12" s="1" t="b">
        <v>1</v>
      </c>
    </row>
    <row r="13">
      <c r="A13" s="7">
        <f>DATA!C10</f>
        <v/>
      </c>
      <c r="B13" s="10">
        <f>DATA!I10</f>
        <v/>
      </c>
      <c r="C13" s="7">
        <f>DATA!J10</f>
        <v/>
      </c>
      <c r="D13" s="13">
        <f>DATA!K10</f>
        <v/>
      </c>
      <c r="E13" s="7" t="n"/>
      <c r="F13" s="10">
        <f>DATA!N10</f>
        <v/>
      </c>
      <c r="G13" s="11">
        <f>DATA!O10</f>
        <v/>
      </c>
      <c r="H13" s="1" t="b">
        <v>1</v>
      </c>
    </row>
    <row r="14" ht="45" customHeight="1">
      <c r="A14" s="7">
        <f>DATA!C11</f>
        <v/>
      </c>
      <c r="B14" s="10">
        <f>DATA!I11</f>
        <v/>
      </c>
      <c r="C14" s="7">
        <f>DATA!J11</f>
        <v/>
      </c>
      <c r="D14" s="13">
        <f>DATA!K11</f>
        <v/>
      </c>
      <c r="E14" s="7" t="n"/>
      <c r="F14" s="10">
        <f>DATA!N11</f>
        <v/>
      </c>
      <c r="G14" s="11">
        <f>DATA!O11</f>
        <v/>
      </c>
      <c r="H14" s="1" t="b">
        <v>1</v>
      </c>
    </row>
    <row r="15">
      <c r="A15" s="7">
        <f>DATA!C12</f>
        <v/>
      </c>
      <c r="B15" s="10">
        <f>DATA!I12</f>
        <v/>
      </c>
      <c r="C15" s="7">
        <f>DATA!J12</f>
        <v/>
      </c>
      <c r="D15" s="13">
        <f>DATA!K12</f>
        <v/>
      </c>
      <c r="E15" s="7" t="n"/>
      <c r="F15" s="10">
        <f>DATA!N12</f>
        <v/>
      </c>
      <c r="G15" s="11">
        <f>DATA!O12</f>
        <v/>
      </c>
      <c r="H15" s="1" t="b">
        <v>1</v>
      </c>
    </row>
    <row r="16">
      <c r="A16" s="7">
        <f>DATA!C13</f>
        <v/>
      </c>
      <c r="B16" s="10">
        <f>DATA!I13</f>
        <v/>
      </c>
      <c r="C16" s="7">
        <f>DATA!J13</f>
        <v/>
      </c>
      <c r="D16" s="13">
        <f>DATA!K13</f>
        <v/>
      </c>
      <c r="E16" s="7" t="n"/>
      <c r="F16" s="10">
        <f>DATA!N13</f>
        <v/>
      </c>
      <c r="G16" s="11">
        <f>DATA!O13</f>
        <v/>
      </c>
      <c r="H16" s="1" t="b">
        <v>1</v>
      </c>
    </row>
    <row r="17">
      <c r="A17" s="7">
        <f>DATA!C14</f>
        <v/>
      </c>
      <c r="B17" s="10">
        <f>DATA!I14</f>
        <v/>
      </c>
      <c r="C17" s="7">
        <f>DATA!J14</f>
        <v/>
      </c>
      <c r="D17" s="13">
        <f>DATA!K14</f>
        <v/>
      </c>
      <c r="E17" s="7" t="n"/>
      <c r="F17" s="10">
        <f>DATA!N14</f>
        <v/>
      </c>
      <c r="G17" s="11">
        <f>DATA!O14</f>
        <v/>
      </c>
      <c r="H17" s="1" t="b">
        <v>1</v>
      </c>
    </row>
    <row r="18" ht="45" customHeight="1">
      <c r="A18" s="7">
        <f>DATA!C15</f>
        <v/>
      </c>
      <c r="B18" s="10">
        <f>DATA!I15</f>
        <v/>
      </c>
      <c r="C18" s="7">
        <f>DATA!J15</f>
        <v/>
      </c>
      <c r="D18" s="13">
        <f>DATA!K15</f>
        <v/>
      </c>
      <c r="E18" s="7" t="n"/>
      <c r="F18" s="10">
        <f>DATA!N15</f>
        <v/>
      </c>
      <c r="G18" s="11">
        <f>DATA!O15</f>
        <v/>
      </c>
      <c r="H18" s="1" t="b">
        <v>1</v>
      </c>
    </row>
    <row r="19">
      <c r="A19" s="7">
        <f>DATA!C16</f>
        <v/>
      </c>
      <c r="B19" s="10">
        <f>DATA!I16</f>
        <v/>
      </c>
      <c r="C19" s="7">
        <f>DATA!J16</f>
        <v/>
      </c>
      <c r="D19" s="13">
        <f>DATA!K16</f>
        <v/>
      </c>
      <c r="E19" s="7" t="n"/>
      <c r="F19" s="10">
        <f>DATA!N16</f>
        <v/>
      </c>
      <c r="G19" s="11">
        <f>DATA!O16</f>
        <v/>
      </c>
      <c r="H19" s="1" t="b">
        <v>1</v>
      </c>
    </row>
    <row r="20">
      <c r="A20" s="7">
        <f>DATA!C17</f>
        <v/>
      </c>
      <c r="B20" s="10">
        <f>DATA!I17</f>
        <v/>
      </c>
      <c r="C20" s="7">
        <f>DATA!J17</f>
        <v/>
      </c>
      <c r="D20" s="13">
        <f>DATA!K17</f>
        <v/>
      </c>
      <c r="E20" s="7" t="n"/>
      <c r="F20" s="10">
        <f>DATA!N17</f>
        <v/>
      </c>
      <c r="G20" s="11">
        <f>DATA!O17</f>
        <v/>
      </c>
      <c r="H20" s="1" t="b">
        <v>1</v>
      </c>
    </row>
    <row r="21" ht="45" customHeight="1">
      <c r="A21" s="7">
        <f>DATA!C18</f>
        <v/>
      </c>
      <c r="B21" s="10">
        <f>DATA!I18</f>
        <v/>
      </c>
      <c r="C21" s="7">
        <f>DATA!J18</f>
        <v/>
      </c>
      <c r="D21" s="13">
        <f>DATA!K18</f>
        <v/>
      </c>
      <c r="E21" s="7" t="n"/>
      <c r="F21" s="10">
        <f>DATA!N18</f>
        <v/>
      </c>
      <c r="G21" s="11">
        <f>DATA!O18</f>
        <v/>
      </c>
      <c r="H21" s="1" t="b">
        <v>1</v>
      </c>
    </row>
    <row r="22">
      <c r="A22" s="7">
        <f>DATA!C19</f>
        <v/>
      </c>
      <c r="B22" s="10">
        <f>DATA!I19</f>
        <v/>
      </c>
      <c r="C22" s="7">
        <f>DATA!J19</f>
        <v/>
      </c>
      <c r="D22" s="13">
        <f>DATA!K19</f>
        <v/>
      </c>
      <c r="E22" s="7" t="n"/>
      <c r="F22" s="10">
        <f>DATA!N19</f>
        <v/>
      </c>
      <c r="G22" s="11">
        <f>DATA!O19</f>
        <v/>
      </c>
      <c r="H22" s="1" t="b">
        <v>1</v>
      </c>
    </row>
    <row r="23">
      <c r="A23" s="7">
        <f>DATA!C20</f>
        <v/>
      </c>
      <c r="B23" s="10">
        <f>DATA!I20</f>
        <v/>
      </c>
      <c r="C23" s="7">
        <f>DATA!J20</f>
        <v/>
      </c>
      <c r="D23" s="13">
        <f>DATA!K20</f>
        <v/>
      </c>
      <c r="E23" s="7" t="n"/>
      <c r="F23" s="10">
        <f>DATA!N20</f>
        <v/>
      </c>
      <c r="G23" s="11">
        <f>DATA!O20</f>
        <v/>
      </c>
      <c r="H23" s="1" t="b">
        <v>1</v>
      </c>
    </row>
    <row r="24">
      <c r="A24" s="7">
        <f>DATA!C21</f>
        <v/>
      </c>
      <c r="B24" s="10">
        <f>DATA!I21</f>
        <v/>
      </c>
      <c r="C24" s="7">
        <f>DATA!J21</f>
        <v/>
      </c>
      <c r="D24" s="13">
        <f>DATA!K21</f>
        <v/>
      </c>
      <c r="E24" s="7" t="n"/>
      <c r="F24" s="10">
        <f>DATA!N21</f>
        <v/>
      </c>
      <c r="G24" s="11">
        <f>DATA!O21</f>
        <v/>
      </c>
      <c r="H24" s="1" t="b">
        <v>1</v>
      </c>
    </row>
    <row r="25">
      <c r="A25" s="7">
        <f>DATA!C22</f>
        <v/>
      </c>
      <c r="B25" s="10">
        <f>DATA!I22</f>
        <v/>
      </c>
      <c r="C25" s="7">
        <f>DATA!J22</f>
        <v/>
      </c>
      <c r="D25" s="13">
        <f>DATA!K22</f>
        <v/>
      </c>
      <c r="E25" s="7" t="n"/>
      <c r="F25" s="10">
        <f>DATA!N22</f>
        <v/>
      </c>
      <c r="G25" s="11">
        <f>DATA!O22</f>
        <v/>
      </c>
      <c r="H25" s="1" t="b">
        <v>1</v>
      </c>
    </row>
    <row r="26">
      <c r="A26" s="7">
        <f>DATA!C23</f>
        <v/>
      </c>
      <c r="B26" s="10">
        <f>DATA!I23</f>
        <v/>
      </c>
      <c r="C26" s="7">
        <f>DATA!J23</f>
        <v/>
      </c>
      <c r="D26" s="13">
        <f>DATA!K23</f>
        <v/>
      </c>
      <c r="E26" s="7" t="n"/>
      <c r="F26" s="10">
        <f>DATA!N23</f>
        <v/>
      </c>
      <c r="G26" s="11">
        <f>DATA!O23</f>
        <v/>
      </c>
      <c r="H26" s="1" t="b">
        <v>1</v>
      </c>
    </row>
    <row r="27">
      <c r="A27" s="7">
        <f>DATA!C24</f>
        <v/>
      </c>
      <c r="B27" s="10">
        <f>DATA!I24</f>
        <v/>
      </c>
      <c r="C27" s="7">
        <f>DATA!J24</f>
        <v/>
      </c>
      <c r="D27" s="13">
        <f>DATA!K24</f>
        <v/>
      </c>
      <c r="E27" s="7" t="n"/>
      <c r="F27" s="10">
        <f>DATA!N24</f>
        <v/>
      </c>
      <c r="G27" s="11">
        <f>DATA!O24</f>
        <v/>
      </c>
      <c r="H27" s="1" t="b">
        <v>1</v>
      </c>
    </row>
    <row r="28">
      <c r="A28" s="7">
        <f>DATA!C25</f>
        <v/>
      </c>
      <c r="B28" s="10">
        <f>DATA!I25</f>
        <v/>
      </c>
      <c r="C28" s="7">
        <f>DATA!J25</f>
        <v/>
      </c>
      <c r="D28" s="13">
        <f>DATA!K25</f>
        <v/>
      </c>
      <c r="E28" s="7" t="n"/>
      <c r="F28" s="10">
        <f>DATA!N25</f>
        <v/>
      </c>
      <c r="G28" s="11">
        <f>DATA!O25</f>
        <v/>
      </c>
      <c r="H28" s="1" t="b">
        <v>1</v>
      </c>
    </row>
    <row r="29">
      <c r="A29" s="7">
        <f>DATA!C26</f>
        <v/>
      </c>
      <c r="B29" s="10">
        <f>DATA!I26</f>
        <v/>
      </c>
      <c r="C29" s="7">
        <f>DATA!J26</f>
        <v/>
      </c>
      <c r="D29" s="13">
        <f>DATA!K26</f>
        <v/>
      </c>
      <c r="E29" s="7" t="n"/>
      <c r="F29" s="10">
        <f>DATA!N26</f>
        <v/>
      </c>
      <c r="G29" s="11">
        <f>DATA!O26</f>
        <v/>
      </c>
      <c r="H29" s="1" t="b">
        <v>1</v>
      </c>
    </row>
    <row r="30">
      <c r="A30" s="7">
        <f>DATA!C27</f>
        <v/>
      </c>
      <c r="B30" s="10">
        <f>DATA!I27</f>
        <v/>
      </c>
      <c r="C30" s="7">
        <f>DATA!J27</f>
        <v/>
      </c>
      <c r="D30" s="13">
        <f>DATA!K27</f>
        <v/>
      </c>
      <c r="E30" s="7" t="n"/>
      <c r="F30" s="10">
        <f>DATA!N27</f>
        <v/>
      </c>
      <c r="G30" s="11">
        <f>DATA!O27</f>
        <v/>
      </c>
      <c r="H30" s="1" t="b">
        <v>1</v>
      </c>
    </row>
    <row r="31">
      <c r="A31" s="7">
        <f>DATA!C28</f>
        <v/>
      </c>
      <c r="B31" s="10">
        <f>DATA!I28</f>
        <v/>
      </c>
      <c r="C31" s="7">
        <f>DATA!J28</f>
        <v/>
      </c>
      <c r="D31" s="13">
        <f>DATA!K28</f>
        <v/>
      </c>
      <c r="E31" s="7" t="n"/>
      <c r="F31" s="10">
        <f>DATA!N28</f>
        <v/>
      </c>
      <c r="G31" s="11">
        <f>DATA!O28</f>
        <v/>
      </c>
      <c r="H31" s="1" t="b">
        <v>1</v>
      </c>
    </row>
    <row r="32">
      <c r="A32" s="7">
        <f>DATA!C29</f>
        <v/>
      </c>
      <c r="B32" s="10">
        <f>DATA!I29</f>
        <v/>
      </c>
      <c r="C32" s="7">
        <f>DATA!J29</f>
        <v/>
      </c>
      <c r="D32" s="13">
        <f>DATA!K29</f>
        <v/>
      </c>
      <c r="E32" s="7" t="n"/>
      <c r="F32" s="10">
        <f>DATA!N29</f>
        <v/>
      </c>
      <c r="G32" s="11">
        <f>DATA!O29</f>
        <v/>
      </c>
      <c r="H32" s="1" t="b">
        <v>1</v>
      </c>
    </row>
    <row r="33">
      <c r="A33" s="7">
        <f>DATA!C30</f>
        <v/>
      </c>
      <c r="B33" s="10">
        <f>DATA!I30</f>
        <v/>
      </c>
      <c r="C33" s="7">
        <f>DATA!J30</f>
        <v/>
      </c>
      <c r="D33" s="13">
        <f>DATA!K30</f>
        <v/>
      </c>
      <c r="E33" s="7" t="n"/>
      <c r="F33" s="10">
        <f>DATA!N30</f>
        <v/>
      </c>
      <c r="G33" s="11">
        <f>DATA!O30</f>
        <v/>
      </c>
      <c r="H33" s="1" t="b">
        <v>1</v>
      </c>
    </row>
    <row r="34">
      <c r="A34" s="7">
        <f>DATA!C31</f>
        <v/>
      </c>
      <c r="B34" s="10">
        <f>DATA!I31</f>
        <v/>
      </c>
      <c r="C34" s="7">
        <f>DATA!J31</f>
        <v/>
      </c>
      <c r="D34" s="13">
        <f>DATA!K31</f>
        <v/>
      </c>
      <c r="E34" s="7" t="n"/>
      <c r="F34" s="10">
        <f>DATA!N31</f>
        <v/>
      </c>
      <c r="G34" s="11">
        <f>DATA!O31</f>
        <v/>
      </c>
      <c r="H34" s="1" t="b">
        <v>1</v>
      </c>
    </row>
    <row r="35">
      <c r="A35" s="7">
        <f>DATA!C32</f>
        <v/>
      </c>
      <c r="B35" s="10">
        <f>DATA!I32</f>
        <v/>
      </c>
      <c r="C35" s="7">
        <f>DATA!J32</f>
        <v/>
      </c>
      <c r="D35" s="13">
        <f>DATA!K32</f>
        <v/>
      </c>
      <c r="E35" s="7" t="n"/>
      <c r="F35" s="10">
        <f>DATA!N32</f>
        <v/>
      </c>
      <c r="G35" s="11">
        <f>DATA!O32</f>
        <v/>
      </c>
      <c r="H35" s="1" t="b">
        <v>1</v>
      </c>
    </row>
    <row r="36">
      <c r="A36" s="7">
        <f>DATA!C33</f>
        <v/>
      </c>
      <c r="B36" s="10">
        <f>DATA!I33</f>
        <v/>
      </c>
      <c r="C36" s="7">
        <f>DATA!J33</f>
        <v/>
      </c>
      <c r="D36" s="13">
        <f>DATA!K33</f>
        <v/>
      </c>
      <c r="E36" s="7" t="n"/>
      <c r="F36" s="10">
        <f>DATA!N33</f>
        <v/>
      </c>
      <c r="G36" s="11">
        <f>DATA!O33</f>
        <v/>
      </c>
      <c r="H36" s="1" t="b">
        <v>1</v>
      </c>
    </row>
    <row r="37">
      <c r="A37" s="7">
        <f>DATA!C34</f>
        <v/>
      </c>
      <c r="B37" s="10">
        <f>DATA!I34</f>
        <v/>
      </c>
      <c r="C37" s="7">
        <f>DATA!J34</f>
        <v/>
      </c>
      <c r="D37" s="13">
        <f>DATA!K34</f>
        <v/>
      </c>
      <c r="E37" s="7" t="n"/>
      <c r="F37" s="10">
        <f>DATA!N34</f>
        <v/>
      </c>
      <c r="G37" s="11">
        <f>DATA!O34</f>
        <v/>
      </c>
      <c r="H37" s="1" t="b">
        <v>1</v>
      </c>
    </row>
    <row r="38" ht="45" customHeight="1">
      <c r="A38" s="7">
        <f>DATA!C35</f>
        <v/>
      </c>
      <c r="B38" s="10">
        <f>DATA!I35</f>
        <v/>
      </c>
      <c r="C38" s="7">
        <f>DATA!J35</f>
        <v/>
      </c>
      <c r="D38" s="13">
        <f>DATA!K35</f>
        <v/>
      </c>
      <c r="E38" s="7" t="n"/>
      <c r="F38" s="10">
        <f>DATA!N35</f>
        <v/>
      </c>
      <c r="G38" s="11">
        <f>DATA!O35</f>
        <v/>
      </c>
      <c r="H38" s="1" t="b">
        <v>1</v>
      </c>
    </row>
    <row r="39">
      <c r="A39" s="7">
        <f>DATA!C36</f>
        <v/>
      </c>
      <c r="B39" s="10">
        <f>DATA!I36</f>
        <v/>
      </c>
      <c r="C39" s="7">
        <f>DATA!J36</f>
        <v/>
      </c>
      <c r="D39" s="13">
        <f>DATA!K36</f>
        <v/>
      </c>
      <c r="E39" s="7" t="n"/>
      <c r="F39" s="10">
        <f>DATA!N36</f>
        <v/>
      </c>
      <c r="G39" s="11">
        <f>DATA!O36</f>
        <v/>
      </c>
      <c r="H39" s="1" t="b">
        <v>1</v>
      </c>
    </row>
    <row r="40">
      <c r="A40" s="7">
        <f>DATA!C37</f>
        <v/>
      </c>
      <c r="B40" s="10">
        <f>DATA!I37</f>
        <v/>
      </c>
      <c r="C40" s="7">
        <f>DATA!J37</f>
        <v/>
      </c>
      <c r="D40" s="13">
        <f>DATA!K37</f>
        <v/>
      </c>
      <c r="E40" s="7" t="n"/>
      <c r="F40" s="10">
        <f>DATA!N37</f>
        <v/>
      </c>
      <c r="G40" s="11">
        <f>DATA!O37</f>
        <v/>
      </c>
      <c r="H40" s="1" t="b">
        <v>1</v>
      </c>
    </row>
    <row r="41" ht="30" customHeight="1">
      <c r="A41" s="7">
        <f>DATA!C38</f>
        <v/>
      </c>
      <c r="B41" s="10">
        <f>DATA!I38</f>
        <v/>
      </c>
      <c r="C41" s="7">
        <f>DATA!J38</f>
        <v/>
      </c>
      <c r="D41" s="13">
        <f>DATA!K38</f>
        <v/>
      </c>
      <c r="E41" s="7" t="n"/>
      <c r="F41" s="10">
        <f>DATA!N38</f>
        <v/>
      </c>
      <c r="G41" s="11">
        <f>DATA!O38</f>
        <v/>
      </c>
      <c r="H41" s="1" t="b">
        <v>1</v>
      </c>
    </row>
    <row r="42" ht="30" customHeight="1">
      <c r="A42" s="7">
        <f>DATA!C39</f>
        <v/>
      </c>
      <c r="B42" s="10">
        <f>DATA!I39</f>
        <v/>
      </c>
      <c r="C42" s="7">
        <f>DATA!J39</f>
        <v/>
      </c>
      <c r="D42" s="13">
        <f>DATA!K39</f>
        <v/>
      </c>
      <c r="E42" s="7" t="n"/>
      <c r="F42" s="10">
        <f>DATA!N39</f>
        <v/>
      </c>
      <c r="G42" s="11">
        <f>DATA!O39</f>
        <v/>
      </c>
      <c r="H42" s="1" t="b">
        <v>1</v>
      </c>
    </row>
    <row r="43" ht="30" customHeight="1">
      <c r="A43" s="7">
        <f>DATA!C40</f>
        <v/>
      </c>
      <c r="B43" s="10">
        <f>DATA!I40</f>
        <v/>
      </c>
      <c r="C43" s="7">
        <f>DATA!J40</f>
        <v/>
      </c>
      <c r="D43" s="13">
        <f>DATA!K40</f>
        <v/>
      </c>
      <c r="E43" s="7" t="n"/>
      <c r="F43" s="10">
        <f>DATA!N40</f>
        <v/>
      </c>
      <c r="G43" s="11">
        <f>DATA!O40</f>
        <v/>
      </c>
      <c r="H43" s="1" t="b">
        <v>1</v>
      </c>
    </row>
    <row r="44">
      <c r="A44" s="7">
        <f>DATA!C41</f>
        <v/>
      </c>
      <c r="B44" s="10">
        <f>DATA!I41</f>
        <v/>
      </c>
      <c r="C44" s="7">
        <f>DATA!J41</f>
        <v/>
      </c>
      <c r="D44" s="13">
        <f>DATA!K41</f>
        <v/>
      </c>
      <c r="E44" s="7" t="n"/>
      <c r="F44" s="10">
        <f>DATA!N41</f>
        <v/>
      </c>
      <c r="G44" s="11">
        <f>DATA!O41</f>
        <v/>
      </c>
      <c r="H44" s="1" t="b">
        <v>1</v>
      </c>
    </row>
    <row r="45">
      <c r="A45" s="7">
        <f>DATA!C42</f>
        <v/>
      </c>
      <c r="B45" s="10">
        <f>DATA!I42</f>
        <v/>
      </c>
      <c r="C45" s="7">
        <f>DATA!J42</f>
        <v/>
      </c>
      <c r="D45" s="13">
        <f>DATA!K42</f>
        <v/>
      </c>
      <c r="E45" s="7" t="n"/>
      <c r="F45" s="10">
        <f>DATA!N42</f>
        <v/>
      </c>
      <c r="G45" s="11">
        <f>DATA!O42</f>
        <v/>
      </c>
      <c r="H45" s="1" t="b">
        <v>1</v>
      </c>
    </row>
    <row r="46" ht="30" customHeight="1">
      <c r="A46" s="7">
        <f>DATA!C43</f>
        <v/>
      </c>
      <c r="B46" s="10">
        <f>DATA!I43</f>
        <v/>
      </c>
      <c r="C46" s="7">
        <f>DATA!J43</f>
        <v/>
      </c>
      <c r="D46" s="13">
        <f>DATA!K43</f>
        <v/>
      </c>
      <c r="E46" s="7" t="n"/>
      <c r="F46" s="10">
        <f>DATA!N43</f>
        <v/>
      </c>
      <c r="G46" s="11">
        <f>DATA!O43</f>
        <v/>
      </c>
      <c r="H46" s="1" t="b">
        <v>1</v>
      </c>
    </row>
    <row r="47">
      <c r="A47" s="7">
        <f>DATA!C44</f>
        <v/>
      </c>
      <c r="B47" s="10">
        <f>DATA!I44</f>
        <v/>
      </c>
      <c r="C47" s="7">
        <f>DATA!J44</f>
        <v/>
      </c>
      <c r="D47" s="13">
        <f>DATA!K44</f>
        <v/>
      </c>
      <c r="E47" s="7" t="n"/>
      <c r="F47" s="10">
        <f>DATA!N44</f>
        <v/>
      </c>
      <c r="G47" s="11">
        <f>DATA!O44</f>
        <v/>
      </c>
      <c r="H47" s="1" t="b">
        <v>1</v>
      </c>
    </row>
    <row r="48">
      <c r="A48" s="7">
        <f>DATA!C45</f>
        <v/>
      </c>
      <c r="B48" s="10">
        <f>DATA!I45</f>
        <v/>
      </c>
      <c r="C48" s="7">
        <f>DATA!J45</f>
        <v/>
      </c>
      <c r="D48" s="13">
        <f>DATA!K45</f>
        <v/>
      </c>
      <c r="E48" s="7" t="n"/>
      <c r="F48" s="10">
        <f>DATA!N45</f>
        <v/>
      </c>
      <c r="G48" s="11">
        <f>DATA!O45</f>
        <v/>
      </c>
      <c r="H48" s="1" t="b">
        <v>1</v>
      </c>
    </row>
    <row r="49">
      <c r="A49" s="7">
        <f>DATA!C46</f>
        <v/>
      </c>
      <c r="B49" s="10">
        <f>DATA!I46</f>
        <v/>
      </c>
      <c r="C49" s="7">
        <f>DATA!J46</f>
        <v/>
      </c>
      <c r="D49" s="13">
        <f>DATA!K46</f>
        <v/>
      </c>
      <c r="E49" s="7" t="n"/>
      <c r="F49" s="10">
        <f>DATA!N46</f>
        <v/>
      </c>
      <c r="G49" s="11">
        <f>DATA!O46</f>
        <v/>
      </c>
      <c r="H49" s="1" t="b">
        <v>1</v>
      </c>
    </row>
    <row r="50" ht="30" customHeight="1">
      <c r="A50" s="7">
        <f>DATA!C47</f>
        <v/>
      </c>
      <c r="B50" s="10">
        <f>DATA!I47</f>
        <v/>
      </c>
      <c r="C50" s="7">
        <f>DATA!J47</f>
        <v/>
      </c>
      <c r="D50" s="13">
        <f>DATA!K47</f>
        <v/>
      </c>
      <c r="E50" s="7" t="n"/>
      <c r="F50" s="10">
        <f>DATA!N47</f>
        <v/>
      </c>
      <c r="G50" s="11">
        <f>DATA!O47</f>
        <v/>
      </c>
      <c r="H50" s="1" t="b">
        <v>1</v>
      </c>
    </row>
    <row r="51" ht="30" customHeight="1">
      <c r="A51" s="7">
        <f>DATA!C48</f>
        <v/>
      </c>
      <c r="B51" s="10">
        <f>DATA!I48</f>
        <v/>
      </c>
      <c r="C51" s="7">
        <f>DATA!J48</f>
        <v/>
      </c>
      <c r="D51" s="13">
        <f>DATA!K48</f>
        <v/>
      </c>
      <c r="E51" s="7" t="n"/>
      <c r="F51" s="10">
        <f>DATA!N48</f>
        <v/>
      </c>
      <c r="G51" s="11">
        <f>DATA!O48</f>
        <v/>
      </c>
      <c r="H51" s="1" t="b">
        <v>1</v>
      </c>
    </row>
    <row r="52">
      <c r="A52" s="7">
        <f>DATA!C49</f>
        <v/>
      </c>
      <c r="B52" s="10">
        <f>DATA!I49</f>
        <v/>
      </c>
      <c r="C52" s="7">
        <f>DATA!J49</f>
        <v/>
      </c>
      <c r="D52" s="13">
        <f>DATA!K49</f>
        <v/>
      </c>
      <c r="E52" s="7" t="n"/>
      <c r="F52" s="10">
        <f>DATA!N49</f>
        <v/>
      </c>
      <c r="G52" s="11">
        <f>DATA!O49</f>
        <v/>
      </c>
      <c r="H52" s="1" t="b">
        <v>1</v>
      </c>
    </row>
    <row r="53">
      <c r="A53" s="7">
        <f>DATA!C50</f>
        <v/>
      </c>
      <c r="B53" s="10">
        <f>DATA!I50</f>
        <v/>
      </c>
      <c r="C53" s="7">
        <f>DATA!J50</f>
        <v/>
      </c>
      <c r="D53" s="13">
        <f>DATA!K50</f>
        <v/>
      </c>
      <c r="E53" s="7" t="n"/>
      <c r="F53" s="10">
        <f>DATA!N50</f>
        <v/>
      </c>
      <c r="G53" s="11">
        <f>DATA!O50</f>
        <v/>
      </c>
      <c r="H53" s="1" t="b">
        <v>1</v>
      </c>
    </row>
    <row r="54">
      <c r="A54" s="7">
        <f>DATA!C51</f>
        <v/>
      </c>
      <c r="B54" s="10">
        <f>DATA!I51</f>
        <v/>
      </c>
      <c r="C54" s="7">
        <f>DATA!J51</f>
        <v/>
      </c>
      <c r="D54" s="13">
        <f>DATA!K51</f>
        <v/>
      </c>
      <c r="E54" s="7" t="n"/>
      <c r="F54" s="10">
        <f>DATA!N51</f>
        <v/>
      </c>
      <c r="G54" s="11">
        <f>DATA!O51</f>
        <v/>
      </c>
      <c r="H54" s="1" t="b">
        <v>1</v>
      </c>
    </row>
    <row r="55">
      <c r="A55" s="7">
        <f>DATA!C52</f>
        <v/>
      </c>
      <c r="B55" s="10">
        <f>DATA!I52</f>
        <v/>
      </c>
      <c r="C55" s="7">
        <f>DATA!J52</f>
        <v/>
      </c>
      <c r="D55" s="13">
        <f>DATA!K52</f>
        <v/>
      </c>
      <c r="E55" s="7" t="n"/>
      <c r="F55" s="10">
        <f>DATA!N52</f>
        <v/>
      </c>
      <c r="G55" s="11">
        <f>DATA!O52</f>
        <v/>
      </c>
      <c r="H55" s="1" t="b">
        <v>1</v>
      </c>
    </row>
    <row r="56">
      <c r="A56" s="7">
        <f>DATA!C53</f>
        <v/>
      </c>
      <c r="B56" s="10">
        <f>DATA!I53</f>
        <v/>
      </c>
      <c r="C56" s="7">
        <f>DATA!J53</f>
        <v/>
      </c>
      <c r="D56" s="13">
        <f>DATA!K53</f>
        <v/>
      </c>
      <c r="E56" s="7" t="n"/>
      <c r="F56" s="10">
        <f>DATA!N53</f>
        <v/>
      </c>
      <c r="G56" s="11">
        <f>DATA!O53</f>
        <v/>
      </c>
      <c r="H56" s="1" t="b">
        <v>1</v>
      </c>
    </row>
    <row r="57">
      <c r="A57" s="7">
        <f>DATA!C54</f>
        <v/>
      </c>
      <c r="B57" s="10">
        <f>DATA!I54</f>
        <v/>
      </c>
      <c r="C57" s="7">
        <f>DATA!J54</f>
        <v/>
      </c>
      <c r="D57" s="13">
        <f>DATA!K54</f>
        <v/>
      </c>
      <c r="E57" s="7" t="n"/>
      <c r="F57" s="10">
        <f>DATA!N54</f>
        <v/>
      </c>
      <c r="G57" s="11">
        <f>DATA!O54</f>
        <v/>
      </c>
      <c r="H57" s="1" t="b">
        <v>1</v>
      </c>
    </row>
    <row r="58">
      <c r="A58" s="7">
        <f>DATA!C55</f>
        <v/>
      </c>
      <c r="B58" s="10">
        <f>DATA!I55</f>
        <v/>
      </c>
      <c r="C58" s="7">
        <f>DATA!J55</f>
        <v/>
      </c>
      <c r="D58" s="13">
        <f>DATA!K55</f>
        <v/>
      </c>
      <c r="E58" s="7" t="n"/>
      <c r="F58" s="10">
        <f>DATA!N55</f>
        <v/>
      </c>
      <c r="G58" s="11">
        <f>DATA!O55</f>
        <v/>
      </c>
      <c r="H58" s="1" t="b">
        <v>1</v>
      </c>
    </row>
    <row r="59">
      <c r="A59" s="7">
        <f>DATA!C56</f>
        <v/>
      </c>
      <c r="B59" s="10">
        <f>DATA!I56</f>
        <v/>
      </c>
      <c r="C59" s="7">
        <f>DATA!J56</f>
        <v/>
      </c>
      <c r="D59" s="13">
        <f>DATA!K56</f>
        <v/>
      </c>
      <c r="E59" s="7" t="n"/>
      <c r="F59" s="10">
        <f>DATA!N56</f>
        <v/>
      </c>
      <c r="G59" s="11">
        <f>DATA!O56</f>
        <v/>
      </c>
      <c r="H59" s="1" t="b">
        <v>1</v>
      </c>
    </row>
    <row r="60">
      <c r="A60" s="7">
        <f>DATA!C57</f>
        <v/>
      </c>
      <c r="B60" s="10">
        <f>DATA!I57</f>
        <v/>
      </c>
      <c r="C60" s="7">
        <f>DATA!J57</f>
        <v/>
      </c>
      <c r="D60" s="13">
        <f>DATA!K57</f>
        <v/>
      </c>
      <c r="E60" s="7" t="n"/>
      <c r="F60" s="10">
        <f>DATA!N57</f>
        <v/>
      </c>
      <c r="G60" s="11">
        <f>DATA!O57</f>
        <v/>
      </c>
      <c r="H60" s="1" t="b">
        <v>1</v>
      </c>
    </row>
    <row r="61">
      <c r="A61" s="7">
        <f>DATA!C58</f>
        <v/>
      </c>
      <c r="B61" s="10">
        <f>DATA!I58</f>
        <v/>
      </c>
      <c r="C61" s="7">
        <f>DATA!J58</f>
        <v/>
      </c>
      <c r="D61" s="13">
        <f>DATA!K58</f>
        <v/>
      </c>
      <c r="E61" s="7" t="n"/>
      <c r="F61" s="10">
        <f>DATA!N58</f>
        <v/>
      </c>
      <c r="G61" s="11">
        <f>DATA!O58</f>
        <v/>
      </c>
      <c r="H61" s="1" t="b">
        <v>1</v>
      </c>
    </row>
    <row r="62">
      <c r="A62" s="7">
        <f>DATA!C59</f>
        <v/>
      </c>
      <c r="B62" s="10">
        <f>DATA!I59</f>
        <v/>
      </c>
      <c r="C62" s="7">
        <f>DATA!J59</f>
        <v/>
      </c>
      <c r="D62" s="13">
        <f>DATA!K59</f>
        <v/>
      </c>
      <c r="E62" s="7" t="n"/>
      <c r="F62" s="10">
        <f>DATA!N59</f>
        <v/>
      </c>
      <c r="G62" s="11">
        <f>DATA!O59</f>
        <v/>
      </c>
      <c r="H62" s="1" t="b">
        <v>1</v>
      </c>
    </row>
    <row r="63">
      <c r="A63" s="7">
        <f>DATA!C60</f>
        <v/>
      </c>
      <c r="B63" s="10">
        <f>DATA!I60</f>
        <v/>
      </c>
      <c r="C63" s="7">
        <f>DATA!J60</f>
        <v/>
      </c>
      <c r="D63" s="13">
        <f>DATA!K60</f>
        <v/>
      </c>
      <c r="E63" s="7" t="n"/>
      <c r="F63" s="10">
        <f>DATA!N60</f>
        <v/>
      </c>
      <c r="G63" s="11">
        <f>DATA!O60</f>
        <v/>
      </c>
      <c r="H63" s="1" t="b">
        <v>1</v>
      </c>
    </row>
    <row r="64">
      <c r="A64" s="7">
        <f>DATA!C61</f>
        <v/>
      </c>
      <c r="B64" s="10">
        <f>DATA!I61</f>
        <v/>
      </c>
      <c r="C64" s="7">
        <f>DATA!J61</f>
        <v/>
      </c>
      <c r="D64" s="13">
        <f>DATA!K61</f>
        <v/>
      </c>
      <c r="E64" s="7" t="n"/>
      <c r="F64" s="10">
        <f>DATA!N61</f>
        <v/>
      </c>
      <c r="G64" s="11">
        <f>DATA!O61</f>
        <v/>
      </c>
      <c r="H64" s="1" t="b">
        <v>1</v>
      </c>
    </row>
    <row r="65">
      <c r="A65" s="7">
        <f>DATA!C62</f>
        <v/>
      </c>
      <c r="B65" s="10">
        <f>DATA!I62</f>
        <v/>
      </c>
      <c r="C65" s="7">
        <f>DATA!J62</f>
        <v/>
      </c>
      <c r="D65" s="13">
        <f>DATA!K62</f>
        <v/>
      </c>
      <c r="E65" s="7" t="n"/>
      <c r="F65" s="10">
        <f>DATA!N62</f>
        <v/>
      </c>
      <c r="G65" s="11">
        <f>DATA!O62</f>
        <v/>
      </c>
      <c r="H65" s="1" t="b">
        <v>1</v>
      </c>
    </row>
    <row r="66">
      <c r="A66" s="7">
        <f>DATA!C63</f>
        <v/>
      </c>
      <c r="B66" s="10">
        <f>DATA!I63</f>
        <v/>
      </c>
      <c r="C66" s="7">
        <f>DATA!J63</f>
        <v/>
      </c>
      <c r="D66" s="13">
        <f>DATA!K63</f>
        <v/>
      </c>
      <c r="E66" s="7" t="n"/>
      <c r="F66" s="10">
        <f>DATA!N63</f>
        <v/>
      </c>
      <c r="G66" s="11">
        <f>DATA!O63</f>
        <v/>
      </c>
      <c r="H66" s="1" t="b">
        <v>1</v>
      </c>
    </row>
    <row r="67" ht="45" customHeight="1">
      <c r="A67" s="7">
        <f>DATA!C64</f>
        <v/>
      </c>
      <c r="B67" s="10">
        <f>DATA!I64</f>
        <v/>
      </c>
      <c r="C67" s="7">
        <f>DATA!J64</f>
        <v/>
      </c>
      <c r="D67" s="13">
        <f>DATA!K64</f>
        <v/>
      </c>
      <c r="E67" s="7" t="n"/>
      <c r="F67" s="10">
        <f>DATA!N64</f>
        <v/>
      </c>
      <c r="G67" s="11">
        <f>DATA!O64</f>
        <v/>
      </c>
      <c r="H67" s="1" t="b">
        <v>1</v>
      </c>
    </row>
    <row r="68" ht="30" customHeight="1">
      <c r="A68" s="7">
        <f>DATA!C65</f>
        <v/>
      </c>
      <c r="B68" s="10">
        <f>DATA!I65</f>
        <v/>
      </c>
      <c r="C68" s="7">
        <f>DATA!J65</f>
        <v/>
      </c>
      <c r="D68" s="13">
        <f>DATA!K65</f>
        <v/>
      </c>
      <c r="E68" s="7" t="n"/>
      <c r="F68" s="10">
        <f>DATA!N65</f>
        <v/>
      </c>
      <c r="G68" s="11">
        <f>DATA!O65</f>
        <v/>
      </c>
      <c r="H68" s="1" t="b">
        <v>1</v>
      </c>
    </row>
    <row r="69" ht="30" customHeight="1">
      <c r="A69" s="7">
        <f>DATA!C66</f>
        <v/>
      </c>
      <c r="B69" s="10">
        <f>DATA!I66</f>
        <v/>
      </c>
      <c r="C69" s="7">
        <f>DATA!J66</f>
        <v/>
      </c>
      <c r="D69" s="13">
        <f>DATA!K66</f>
        <v/>
      </c>
      <c r="E69" s="7" t="n"/>
      <c r="F69" s="10">
        <f>DATA!N66</f>
        <v/>
      </c>
      <c r="G69" s="11">
        <f>DATA!O66</f>
        <v/>
      </c>
      <c r="H69" s="1" t="b">
        <v>1</v>
      </c>
    </row>
    <row r="70" ht="30" customHeight="1">
      <c r="A70" s="7">
        <f>DATA!C67</f>
        <v/>
      </c>
      <c r="B70" s="10">
        <f>DATA!I67</f>
        <v/>
      </c>
      <c r="C70" s="7">
        <f>DATA!J67</f>
        <v/>
      </c>
      <c r="D70" s="13">
        <f>DATA!K67</f>
        <v/>
      </c>
      <c r="E70" s="7" t="n"/>
      <c r="F70" s="10">
        <f>DATA!N67</f>
        <v/>
      </c>
      <c r="G70" s="11">
        <f>DATA!O67</f>
        <v/>
      </c>
      <c r="H70" s="1" t="b">
        <v>1</v>
      </c>
    </row>
    <row r="71" ht="30" customHeight="1">
      <c r="A71" s="7">
        <f>DATA!C68</f>
        <v/>
      </c>
      <c r="B71" s="10">
        <f>DATA!I68</f>
        <v/>
      </c>
      <c r="C71" s="7">
        <f>DATA!J68</f>
        <v/>
      </c>
      <c r="D71" s="13">
        <f>DATA!K68</f>
        <v/>
      </c>
      <c r="E71" s="7" t="n"/>
      <c r="F71" s="10">
        <f>DATA!N68</f>
        <v/>
      </c>
      <c r="G71" s="11">
        <f>DATA!O68</f>
        <v/>
      </c>
      <c r="H71" s="1" t="b">
        <v>1</v>
      </c>
    </row>
    <row r="72" ht="30" customHeight="1">
      <c r="A72" s="7">
        <f>DATA!C69</f>
        <v/>
      </c>
      <c r="B72" s="10">
        <f>DATA!I69</f>
        <v/>
      </c>
      <c r="C72" s="7">
        <f>DATA!J69</f>
        <v/>
      </c>
      <c r="D72" s="13">
        <f>DATA!K69</f>
        <v/>
      </c>
      <c r="E72" s="7" t="n"/>
      <c r="F72" s="10">
        <f>DATA!N69</f>
        <v/>
      </c>
      <c r="G72" s="11">
        <f>DATA!O69</f>
        <v/>
      </c>
      <c r="H72" s="1" t="b">
        <v>1</v>
      </c>
    </row>
    <row r="73" ht="45" customHeight="1">
      <c r="A73" s="7">
        <f>DATA!C70</f>
        <v/>
      </c>
      <c r="B73" s="10">
        <f>DATA!I70</f>
        <v/>
      </c>
      <c r="C73" s="7">
        <f>DATA!J70</f>
        <v/>
      </c>
      <c r="D73" s="13">
        <f>DATA!K70</f>
        <v/>
      </c>
      <c r="E73" s="7" t="n"/>
      <c r="F73" s="10">
        <f>DATA!N70</f>
        <v/>
      </c>
      <c r="G73" s="11">
        <f>DATA!O70</f>
        <v/>
      </c>
      <c r="H73" s="1" t="b">
        <v>1</v>
      </c>
    </row>
    <row r="74">
      <c r="A74" s="7">
        <f>DATA!C71</f>
        <v/>
      </c>
      <c r="B74" s="10">
        <f>DATA!I71</f>
        <v/>
      </c>
      <c r="C74" s="7">
        <f>DATA!J71</f>
        <v/>
      </c>
      <c r="D74" s="13">
        <f>DATA!K71</f>
        <v/>
      </c>
      <c r="E74" s="7" t="n"/>
      <c r="F74" s="10">
        <f>DATA!N71</f>
        <v/>
      </c>
      <c r="G74" s="11">
        <f>DATA!O71</f>
        <v/>
      </c>
      <c r="H74" s="1" t="b">
        <v>1</v>
      </c>
    </row>
    <row r="75">
      <c r="A75" s="7">
        <f>DATA!C72</f>
        <v/>
      </c>
      <c r="B75" s="10">
        <f>DATA!I72</f>
        <v/>
      </c>
      <c r="C75" s="7">
        <f>DATA!J72</f>
        <v/>
      </c>
      <c r="D75" s="13">
        <f>DATA!K72</f>
        <v/>
      </c>
      <c r="E75" s="7" t="n"/>
      <c r="F75" s="10">
        <f>DATA!N72</f>
        <v/>
      </c>
      <c r="G75" s="11">
        <f>DATA!O72</f>
        <v/>
      </c>
      <c r="H75" s="1" t="b">
        <v>1</v>
      </c>
    </row>
    <row r="76">
      <c r="A76" s="7">
        <f>DATA!C73</f>
        <v/>
      </c>
      <c r="B76" s="10">
        <f>DATA!I73</f>
        <v/>
      </c>
      <c r="C76" s="7">
        <f>DATA!J73</f>
        <v/>
      </c>
      <c r="D76" s="13">
        <f>DATA!K73</f>
        <v/>
      </c>
      <c r="E76" s="7" t="n"/>
      <c r="F76" s="10">
        <f>DATA!N73</f>
        <v/>
      </c>
      <c r="G76" s="11">
        <f>DATA!O73</f>
        <v/>
      </c>
      <c r="H76" s="1" t="b">
        <v>1</v>
      </c>
    </row>
    <row r="77">
      <c r="A77" s="7">
        <f>DATA!C74</f>
        <v/>
      </c>
      <c r="B77" s="10">
        <f>DATA!I74</f>
        <v/>
      </c>
      <c r="C77" s="7">
        <f>DATA!J74</f>
        <v/>
      </c>
      <c r="D77" s="13">
        <f>DATA!K74</f>
        <v/>
      </c>
      <c r="E77" s="7" t="n"/>
      <c r="F77" s="10">
        <f>DATA!N74</f>
        <v/>
      </c>
      <c r="G77" s="11">
        <f>DATA!O74</f>
        <v/>
      </c>
      <c r="H77" s="1" t="b">
        <v>1</v>
      </c>
    </row>
    <row r="78" ht="30" customHeight="1">
      <c r="A78" s="7">
        <f>DATA!C75</f>
        <v/>
      </c>
      <c r="B78" s="10">
        <f>DATA!I75</f>
        <v/>
      </c>
      <c r="C78" s="7">
        <f>DATA!J75</f>
        <v/>
      </c>
      <c r="D78" s="13">
        <f>DATA!K75</f>
        <v/>
      </c>
      <c r="E78" s="7" t="n"/>
      <c r="F78" s="10">
        <f>DATA!N75</f>
        <v/>
      </c>
      <c r="G78" s="11">
        <f>DATA!O75</f>
        <v/>
      </c>
      <c r="H78" s="1" t="b">
        <v>1</v>
      </c>
    </row>
    <row r="79" ht="30" customHeight="1">
      <c r="A79" s="7">
        <f>DATA!C76</f>
        <v/>
      </c>
      <c r="B79" s="10">
        <f>DATA!I76</f>
        <v/>
      </c>
      <c r="C79" s="7">
        <f>DATA!J76</f>
        <v/>
      </c>
      <c r="D79" s="13">
        <f>DATA!K76</f>
        <v/>
      </c>
      <c r="E79" s="7" t="n"/>
      <c r="F79" s="10">
        <f>DATA!N76</f>
        <v/>
      </c>
      <c r="G79" s="11">
        <f>DATA!O76</f>
        <v/>
      </c>
      <c r="H79" s="1" t="b">
        <v>1</v>
      </c>
    </row>
    <row r="80" ht="30" customHeight="1">
      <c r="A80" s="7">
        <f>DATA!C77</f>
        <v/>
      </c>
      <c r="B80" s="10">
        <f>DATA!I77</f>
        <v/>
      </c>
      <c r="C80" s="7">
        <f>DATA!J77</f>
        <v/>
      </c>
      <c r="D80" s="13">
        <f>DATA!K77</f>
        <v/>
      </c>
      <c r="E80" s="7" t="n"/>
      <c r="F80" s="10">
        <f>DATA!N77</f>
        <v/>
      </c>
      <c r="G80" s="11">
        <f>DATA!O77</f>
        <v/>
      </c>
      <c r="H80" s="1" t="b">
        <v>1</v>
      </c>
    </row>
    <row r="81" ht="45" customHeight="1">
      <c r="A81" s="7">
        <f>DATA!C78</f>
        <v/>
      </c>
      <c r="B81" s="10">
        <f>DATA!I78</f>
        <v/>
      </c>
      <c r="C81" s="7">
        <f>DATA!J78</f>
        <v/>
      </c>
      <c r="D81" s="13">
        <f>DATA!K78</f>
        <v/>
      </c>
      <c r="E81" s="7" t="n"/>
      <c r="F81" s="10">
        <f>DATA!N78</f>
        <v/>
      </c>
      <c r="G81" s="11">
        <f>DATA!O78</f>
        <v/>
      </c>
      <c r="H81" s="1" t="b">
        <v>1</v>
      </c>
    </row>
    <row r="82">
      <c r="A82" s="7">
        <f>DATA!C79</f>
        <v/>
      </c>
      <c r="B82" s="10">
        <f>DATA!I79</f>
        <v/>
      </c>
      <c r="C82" s="7">
        <f>DATA!J79</f>
        <v/>
      </c>
      <c r="D82" s="13">
        <f>DATA!K79</f>
        <v/>
      </c>
      <c r="E82" s="7" t="n"/>
      <c r="F82" s="10">
        <f>DATA!N79</f>
        <v/>
      </c>
      <c r="G82" s="11">
        <f>DATA!O79</f>
        <v/>
      </c>
      <c r="H82" s="1" t="b">
        <v>1</v>
      </c>
    </row>
    <row r="83" ht="30" customHeight="1">
      <c r="A83" s="7">
        <f>DATA!C80</f>
        <v/>
      </c>
      <c r="B83" s="10">
        <f>DATA!I80</f>
        <v/>
      </c>
      <c r="C83" s="7">
        <f>DATA!J80</f>
        <v/>
      </c>
      <c r="D83" s="13">
        <f>DATA!K80</f>
        <v/>
      </c>
      <c r="E83" s="7" t="n"/>
      <c r="F83" s="10">
        <f>DATA!N80</f>
        <v/>
      </c>
      <c r="G83" s="11">
        <f>DATA!O80</f>
        <v/>
      </c>
      <c r="H83" s="1" t="b">
        <v>1</v>
      </c>
    </row>
    <row r="84">
      <c r="A84" s="7">
        <f>DATA!C81</f>
        <v/>
      </c>
      <c r="B84" s="10">
        <f>DATA!I81</f>
        <v/>
      </c>
      <c r="C84" s="7">
        <f>DATA!J81</f>
        <v/>
      </c>
      <c r="D84" s="13">
        <f>DATA!K81</f>
        <v/>
      </c>
      <c r="E84" s="7" t="n"/>
      <c r="F84" s="10">
        <f>DATA!N81</f>
        <v/>
      </c>
      <c r="G84" s="11">
        <f>DATA!O81</f>
        <v/>
      </c>
      <c r="H84" s="1" t="b">
        <v>1</v>
      </c>
    </row>
    <row r="85">
      <c r="A85" s="7">
        <f>DATA!C82</f>
        <v/>
      </c>
      <c r="B85" s="10">
        <f>DATA!I82</f>
        <v/>
      </c>
      <c r="C85" s="7">
        <f>DATA!J82</f>
        <v/>
      </c>
      <c r="D85" s="13">
        <f>DATA!K82</f>
        <v/>
      </c>
      <c r="E85" s="7" t="n"/>
      <c r="F85" s="10">
        <f>DATA!N82</f>
        <v/>
      </c>
      <c r="G85" s="11">
        <f>DATA!O82</f>
        <v/>
      </c>
      <c r="H85" s="1" t="b">
        <v>1</v>
      </c>
    </row>
    <row r="86">
      <c r="A86" s="7">
        <f>DATA!C83</f>
        <v/>
      </c>
      <c r="B86" s="10">
        <f>DATA!I83</f>
        <v/>
      </c>
      <c r="C86" s="7">
        <f>DATA!J83</f>
        <v/>
      </c>
      <c r="D86" s="13">
        <f>DATA!K83</f>
        <v/>
      </c>
      <c r="E86" s="7" t="n"/>
      <c r="F86" s="10">
        <f>DATA!N83</f>
        <v/>
      </c>
      <c r="G86" s="11">
        <f>DATA!O83</f>
        <v/>
      </c>
      <c r="H86" s="1" t="b">
        <v>1</v>
      </c>
    </row>
    <row r="87">
      <c r="A87" s="7">
        <f>DATA!C84</f>
        <v/>
      </c>
      <c r="B87" s="10">
        <f>DATA!I84</f>
        <v/>
      </c>
      <c r="C87" s="7">
        <f>DATA!J84</f>
        <v/>
      </c>
      <c r="D87" s="13">
        <f>DATA!K84</f>
        <v/>
      </c>
      <c r="E87" s="7" t="n"/>
      <c r="F87" s="10">
        <f>DATA!N84</f>
        <v/>
      </c>
      <c r="G87" s="11">
        <f>DATA!O84</f>
        <v/>
      </c>
      <c r="H87" s="1" t="b">
        <v>1</v>
      </c>
    </row>
    <row r="88">
      <c r="A88" s="7">
        <f>DATA!C85</f>
        <v/>
      </c>
      <c r="B88" s="10">
        <f>DATA!I85</f>
        <v/>
      </c>
      <c r="C88" s="7">
        <f>DATA!J85</f>
        <v/>
      </c>
      <c r="D88" s="13">
        <f>DATA!K85</f>
        <v/>
      </c>
      <c r="E88" s="7" t="n"/>
      <c r="F88" s="10">
        <f>DATA!N85</f>
        <v/>
      </c>
      <c r="G88" s="11">
        <f>DATA!O85</f>
        <v/>
      </c>
      <c r="H88" s="1" t="b">
        <v>1</v>
      </c>
    </row>
    <row r="89">
      <c r="A89" s="7">
        <f>DATA!C86</f>
        <v/>
      </c>
      <c r="B89" s="10">
        <f>DATA!I86</f>
        <v/>
      </c>
      <c r="C89" s="7">
        <f>DATA!J86</f>
        <v/>
      </c>
      <c r="D89" s="13">
        <f>DATA!K86</f>
        <v/>
      </c>
      <c r="E89" s="7" t="n"/>
      <c r="F89" s="10">
        <f>DATA!N86</f>
        <v/>
      </c>
      <c r="G89" s="11">
        <f>DATA!O86</f>
        <v/>
      </c>
      <c r="H89" s="1" t="b">
        <v>1</v>
      </c>
    </row>
    <row r="90">
      <c r="A90" s="7">
        <f>DATA!C87</f>
        <v/>
      </c>
      <c r="B90" s="10">
        <f>DATA!I87</f>
        <v/>
      </c>
      <c r="C90" s="7">
        <f>DATA!J87</f>
        <v/>
      </c>
      <c r="D90" s="13">
        <f>DATA!K87</f>
        <v/>
      </c>
      <c r="E90" s="7" t="n"/>
      <c r="F90" s="10">
        <f>DATA!N87</f>
        <v/>
      </c>
      <c r="G90" s="11">
        <f>DATA!O87</f>
        <v/>
      </c>
      <c r="H90" s="1" t="b">
        <v>1</v>
      </c>
    </row>
    <row r="91">
      <c r="A91" s="7">
        <f>DATA!C88</f>
        <v/>
      </c>
      <c r="B91" s="10">
        <f>DATA!I88</f>
        <v/>
      </c>
      <c r="C91" s="7">
        <f>DATA!J88</f>
        <v/>
      </c>
      <c r="D91" s="13">
        <f>DATA!K88</f>
        <v/>
      </c>
      <c r="E91" s="7" t="n"/>
      <c r="F91" s="10">
        <f>DATA!N88</f>
        <v/>
      </c>
      <c r="G91" s="11">
        <f>DATA!O88</f>
        <v/>
      </c>
      <c r="H91" s="1" t="b">
        <v>1</v>
      </c>
    </row>
    <row r="92">
      <c r="A92" s="7">
        <f>DATA!C89</f>
        <v/>
      </c>
      <c r="B92" s="10">
        <f>DATA!I89</f>
        <v/>
      </c>
      <c r="C92" s="7">
        <f>DATA!J89</f>
        <v/>
      </c>
      <c r="D92" s="13">
        <f>DATA!K89</f>
        <v/>
      </c>
      <c r="E92" s="7" t="n"/>
      <c r="F92" s="10">
        <f>DATA!N89</f>
        <v/>
      </c>
      <c r="G92" s="11">
        <f>DATA!O89</f>
        <v/>
      </c>
      <c r="H92" s="1" t="b">
        <v>1</v>
      </c>
    </row>
    <row r="93" ht="45" customHeight="1">
      <c r="A93" s="7">
        <f>DATA!C90</f>
        <v/>
      </c>
      <c r="B93" s="10">
        <f>DATA!I90</f>
        <v/>
      </c>
      <c r="C93" s="7">
        <f>DATA!J90</f>
        <v/>
      </c>
      <c r="D93" s="13">
        <f>DATA!K90</f>
        <v/>
      </c>
      <c r="E93" s="7" t="n"/>
      <c r="F93" s="10">
        <f>DATA!N90</f>
        <v/>
      </c>
      <c r="G93" s="11">
        <f>DATA!O90</f>
        <v/>
      </c>
      <c r="H93" s="1" t="b">
        <v>1</v>
      </c>
    </row>
    <row r="94">
      <c r="A94" s="7">
        <f>DATA!C91</f>
        <v/>
      </c>
      <c r="B94" s="10">
        <f>DATA!I91</f>
        <v/>
      </c>
      <c r="C94" s="7">
        <f>DATA!J91</f>
        <v/>
      </c>
      <c r="D94" s="13">
        <f>DATA!K91</f>
        <v/>
      </c>
      <c r="E94" s="7" t="n"/>
      <c r="F94" s="10">
        <f>DATA!N91</f>
        <v/>
      </c>
      <c r="G94" s="11">
        <f>DATA!O91</f>
        <v/>
      </c>
      <c r="H94" s="1" t="b">
        <v>1</v>
      </c>
    </row>
    <row r="95">
      <c r="A95" s="7">
        <f>DATA!C92</f>
        <v/>
      </c>
      <c r="B95" s="10">
        <f>DATA!I92</f>
        <v/>
      </c>
      <c r="C95" s="7">
        <f>DATA!J92</f>
        <v/>
      </c>
      <c r="D95" s="13">
        <f>DATA!K92</f>
        <v/>
      </c>
      <c r="E95" s="7" t="n"/>
      <c r="F95" s="10">
        <f>DATA!N92</f>
        <v/>
      </c>
      <c r="G95" s="11">
        <f>DATA!O92</f>
        <v/>
      </c>
      <c r="H95" s="1" t="b">
        <v>1</v>
      </c>
    </row>
    <row r="96">
      <c r="A96" s="7">
        <f>DATA!C93</f>
        <v/>
      </c>
      <c r="B96" s="10">
        <f>DATA!I93</f>
        <v/>
      </c>
      <c r="C96" s="7">
        <f>DATA!J93</f>
        <v/>
      </c>
      <c r="D96" s="13">
        <f>DATA!K93</f>
        <v/>
      </c>
      <c r="E96" s="7" t="n"/>
      <c r="F96" s="10">
        <f>DATA!N93</f>
        <v/>
      </c>
      <c r="G96" s="11">
        <f>DATA!O93</f>
        <v/>
      </c>
      <c r="H96" s="1" t="b">
        <v>1</v>
      </c>
    </row>
    <row r="97">
      <c r="A97" s="7">
        <f>DATA!C94</f>
        <v/>
      </c>
      <c r="B97" s="10">
        <f>DATA!I94</f>
        <v/>
      </c>
      <c r="C97" s="7">
        <f>DATA!J94</f>
        <v/>
      </c>
      <c r="D97" s="13">
        <f>DATA!K94</f>
        <v/>
      </c>
      <c r="E97" s="7" t="n"/>
      <c r="F97" s="10">
        <f>DATA!N94</f>
        <v/>
      </c>
      <c r="G97" s="11">
        <f>DATA!O94</f>
        <v/>
      </c>
      <c r="H97" s="1" t="b">
        <v>1</v>
      </c>
    </row>
    <row r="98">
      <c r="A98" s="7">
        <f>DATA!C95</f>
        <v/>
      </c>
      <c r="B98" s="10">
        <f>DATA!I95</f>
        <v/>
      </c>
      <c r="C98" s="7">
        <f>DATA!J95</f>
        <v/>
      </c>
      <c r="D98" s="13">
        <f>DATA!K95</f>
        <v/>
      </c>
      <c r="E98" s="7" t="n"/>
      <c r="F98" s="10">
        <f>DATA!N95</f>
        <v/>
      </c>
      <c r="G98" s="11">
        <f>DATA!O95</f>
        <v/>
      </c>
      <c r="H98" s="1" t="b">
        <v>1</v>
      </c>
    </row>
    <row r="99">
      <c r="A99" s="7">
        <f>DATA!C96</f>
        <v/>
      </c>
      <c r="B99" s="10">
        <f>DATA!I96</f>
        <v/>
      </c>
      <c r="C99" s="7">
        <f>DATA!J96</f>
        <v/>
      </c>
      <c r="D99" s="13">
        <f>DATA!K96</f>
        <v/>
      </c>
      <c r="E99" s="7" t="n"/>
      <c r="F99" s="10">
        <f>DATA!N96</f>
        <v/>
      </c>
      <c r="G99" s="11">
        <f>DATA!O96</f>
        <v/>
      </c>
      <c r="H99" s="1" t="b">
        <v>1</v>
      </c>
    </row>
    <row r="100">
      <c r="A100" s="7">
        <f>DATA!C97</f>
        <v/>
      </c>
      <c r="B100" s="10">
        <f>DATA!I97</f>
        <v/>
      </c>
      <c r="C100" s="7">
        <f>DATA!J97</f>
        <v/>
      </c>
      <c r="D100" s="13">
        <f>DATA!K97</f>
        <v/>
      </c>
      <c r="E100" s="7" t="n"/>
      <c r="F100" s="10">
        <f>DATA!N97</f>
        <v/>
      </c>
      <c r="G100" s="11">
        <f>DATA!O97</f>
        <v/>
      </c>
      <c r="H100" s="1" t="b">
        <v>1</v>
      </c>
    </row>
    <row r="101">
      <c r="A101" s="7">
        <f>DATA!C98</f>
        <v/>
      </c>
      <c r="B101" s="10">
        <f>DATA!I98</f>
        <v/>
      </c>
      <c r="C101" s="7">
        <f>DATA!J98</f>
        <v/>
      </c>
      <c r="D101" s="13">
        <f>DATA!K98</f>
        <v/>
      </c>
      <c r="E101" s="7" t="n"/>
      <c r="F101" s="10">
        <f>DATA!N98</f>
        <v/>
      </c>
      <c r="G101" s="11">
        <f>DATA!O98</f>
        <v/>
      </c>
      <c r="H101" s="1" t="b">
        <v>1</v>
      </c>
    </row>
    <row r="102">
      <c r="A102" s="7">
        <f>DATA!C99</f>
        <v/>
      </c>
      <c r="B102" s="10">
        <f>DATA!I99</f>
        <v/>
      </c>
      <c r="C102" s="7">
        <f>DATA!J99</f>
        <v/>
      </c>
      <c r="D102" s="13">
        <f>DATA!K99</f>
        <v/>
      </c>
      <c r="E102" s="7" t="n"/>
      <c r="F102" s="10">
        <f>DATA!N99</f>
        <v/>
      </c>
      <c r="G102" s="11">
        <f>DATA!O99</f>
        <v/>
      </c>
      <c r="H102" s="1" t="b">
        <v>1</v>
      </c>
    </row>
    <row r="103" ht="45" customHeight="1">
      <c r="A103" s="7">
        <f>DATA!C100</f>
        <v/>
      </c>
      <c r="B103" s="10">
        <f>DATA!I100</f>
        <v/>
      </c>
      <c r="C103" s="7">
        <f>DATA!J100</f>
        <v/>
      </c>
      <c r="D103" s="13">
        <f>DATA!K100</f>
        <v/>
      </c>
      <c r="E103" s="7" t="n"/>
      <c r="F103" s="10">
        <f>DATA!N100</f>
        <v/>
      </c>
      <c r="G103" s="11">
        <f>DATA!O100</f>
        <v/>
      </c>
      <c r="H103" s="1" t="b">
        <v>1</v>
      </c>
    </row>
    <row r="104">
      <c r="A104" s="7">
        <f>DATA!C101</f>
        <v/>
      </c>
      <c r="B104" s="10">
        <f>DATA!I101</f>
        <v/>
      </c>
      <c r="C104" s="7">
        <f>DATA!J101</f>
        <v/>
      </c>
      <c r="D104" s="13">
        <f>DATA!K101</f>
        <v/>
      </c>
      <c r="E104" s="7" t="n"/>
      <c r="F104" s="10">
        <f>DATA!N101</f>
        <v/>
      </c>
      <c r="G104" s="11">
        <f>DATA!O101</f>
        <v/>
      </c>
      <c r="H104" s="1" t="b">
        <v>1</v>
      </c>
    </row>
    <row r="105" ht="45" customHeight="1">
      <c r="A105" s="7">
        <f>DATA!C102</f>
        <v/>
      </c>
      <c r="B105" s="10">
        <f>DATA!I102</f>
        <v/>
      </c>
      <c r="C105" s="7">
        <f>DATA!J102</f>
        <v/>
      </c>
      <c r="D105" s="13">
        <f>DATA!K102</f>
        <v/>
      </c>
      <c r="E105" s="7" t="n"/>
      <c r="F105" s="10">
        <f>DATA!N102</f>
        <v/>
      </c>
      <c r="G105" s="11">
        <f>DATA!O102</f>
        <v/>
      </c>
      <c r="H105" s="1" t="b">
        <v>1</v>
      </c>
    </row>
    <row r="106" ht="30" customHeight="1">
      <c r="A106" s="7">
        <f>DATA!C103</f>
        <v/>
      </c>
      <c r="B106" s="10">
        <f>DATA!I103</f>
        <v/>
      </c>
      <c r="C106" s="7">
        <f>DATA!J103</f>
        <v/>
      </c>
      <c r="D106" s="13">
        <f>DATA!K103</f>
        <v/>
      </c>
      <c r="E106" s="7" t="n"/>
      <c r="F106" s="10">
        <f>DATA!N103</f>
        <v/>
      </c>
      <c r="G106" s="11">
        <f>DATA!O103</f>
        <v/>
      </c>
      <c r="H106" s="1" t="b">
        <v>1</v>
      </c>
    </row>
    <row r="107" ht="30" customHeight="1">
      <c r="A107" s="7">
        <f>DATA!C104</f>
        <v/>
      </c>
      <c r="B107" s="10">
        <f>DATA!I104</f>
        <v/>
      </c>
      <c r="C107" s="7">
        <f>DATA!J104</f>
        <v/>
      </c>
      <c r="D107" s="13">
        <f>DATA!K104</f>
        <v/>
      </c>
      <c r="E107" s="7" t="n"/>
      <c r="F107" s="10">
        <f>DATA!N104</f>
        <v/>
      </c>
      <c r="G107" s="11">
        <f>DATA!O104</f>
        <v/>
      </c>
      <c r="H107" s="1" t="b">
        <v>1</v>
      </c>
    </row>
    <row r="108" ht="30" customHeight="1">
      <c r="A108" s="7">
        <f>DATA!C105</f>
        <v/>
      </c>
      <c r="B108" s="10">
        <f>DATA!I105</f>
        <v/>
      </c>
      <c r="C108" s="7">
        <f>DATA!J105</f>
        <v/>
      </c>
      <c r="D108" s="13">
        <f>DATA!K105</f>
        <v/>
      </c>
      <c r="E108" s="7" t="n"/>
      <c r="F108" s="10">
        <f>DATA!N105</f>
        <v/>
      </c>
      <c r="G108" s="11">
        <f>DATA!O105</f>
        <v/>
      </c>
      <c r="H108" s="1" t="b">
        <v>1</v>
      </c>
    </row>
    <row r="109" ht="45" customHeight="1">
      <c r="A109" s="7">
        <f>DATA!C106</f>
        <v/>
      </c>
      <c r="B109" s="10">
        <f>DATA!I106</f>
        <v/>
      </c>
      <c r="C109" s="7">
        <f>DATA!J106</f>
        <v/>
      </c>
      <c r="D109" s="13">
        <f>DATA!K106</f>
        <v/>
      </c>
      <c r="E109" s="7" t="n"/>
      <c r="F109" s="10">
        <f>DATA!N106</f>
        <v/>
      </c>
      <c r="G109" s="11">
        <f>DATA!O106</f>
        <v/>
      </c>
      <c r="H109" s="1" t="b">
        <v>1</v>
      </c>
    </row>
    <row r="110">
      <c r="A110" s="7">
        <f>DATA!C107</f>
        <v/>
      </c>
      <c r="B110" s="10">
        <f>DATA!I107</f>
        <v/>
      </c>
      <c r="C110" s="7">
        <f>DATA!J107</f>
        <v/>
      </c>
      <c r="D110" s="13">
        <f>DATA!K107</f>
        <v/>
      </c>
      <c r="E110" s="7" t="n"/>
      <c r="F110" s="10">
        <f>DATA!N107</f>
        <v/>
      </c>
      <c r="G110" s="11">
        <f>DATA!O107</f>
        <v/>
      </c>
      <c r="H110" s="1" t="b">
        <v>1</v>
      </c>
    </row>
    <row r="111">
      <c r="A111" s="7">
        <f>DATA!C108</f>
        <v/>
      </c>
      <c r="B111" s="10">
        <f>DATA!I108</f>
        <v/>
      </c>
      <c r="C111" s="7">
        <f>DATA!J108</f>
        <v/>
      </c>
      <c r="D111" s="13">
        <f>DATA!K108</f>
        <v/>
      </c>
      <c r="E111" s="7" t="n"/>
      <c r="F111" s="10">
        <f>DATA!N108</f>
        <v/>
      </c>
      <c r="G111" s="11">
        <f>DATA!O108</f>
        <v/>
      </c>
      <c r="H111" s="1" t="b">
        <v>1</v>
      </c>
    </row>
    <row r="112">
      <c r="A112" s="7">
        <f>DATA!C109</f>
        <v/>
      </c>
      <c r="B112" s="10">
        <f>DATA!I109</f>
        <v/>
      </c>
      <c r="C112" s="7">
        <f>DATA!J109</f>
        <v/>
      </c>
      <c r="D112" s="13">
        <f>DATA!K109</f>
        <v/>
      </c>
      <c r="E112" s="7" t="n"/>
      <c r="F112" s="10">
        <f>DATA!N109</f>
        <v/>
      </c>
      <c r="G112" s="11">
        <f>DATA!O109</f>
        <v/>
      </c>
      <c r="H112" s="1" t="b">
        <v>1</v>
      </c>
    </row>
    <row r="113">
      <c r="A113" s="7">
        <f>DATA!C110</f>
        <v/>
      </c>
      <c r="B113" s="10">
        <f>DATA!I110</f>
        <v/>
      </c>
      <c r="C113" s="7">
        <f>DATA!J110</f>
        <v/>
      </c>
      <c r="D113" s="13">
        <f>DATA!K110</f>
        <v/>
      </c>
      <c r="E113" s="7" t="n"/>
      <c r="F113" s="10">
        <f>DATA!N110</f>
        <v/>
      </c>
      <c r="G113" s="11">
        <f>DATA!O110</f>
        <v/>
      </c>
      <c r="H113" s="1" t="b">
        <v>1</v>
      </c>
    </row>
    <row r="114" ht="45" customHeight="1">
      <c r="A114" s="7">
        <f>DATA!C111</f>
        <v/>
      </c>
      <c r="B114" s="10">
        <f>DATA!I111</f>
        <v/>
      </c>
      <c r="C114" s="7">
        <f>DATA!J111</f>
        <v/>
      </c>
      <c r="D114" s="13">
        <f>DATA!K111</f>
        <v/>
      </c>
      <c r="E114" s="7" t="n"/>
      <c r="F114" s="10">
        <f>DATA!N111</f>
        <v/>
      </c>
      <c r="G114" s="11">
        <f>DATA!O111</f>
        <v/>
      </c>
      <c r="H114" s="1" t="b">
        <v>1</v>
      </c>
    </row>
    <row r="115" ht="30" customHeight="1">
      <c r="A115" s="7">
        <f>DATA!C112</f>
        <v/>
      </c>
      <c r="B115" s="10">
        <f>DATA!I112</f>
        <v/>
      </c>
      <c r="C115" s="7">
        <f>DATA!J112</f>
        <v/>
      </c>
      <c r="D115" s="13">
        <f>DATA!K112</f>
        <v/>
      </c>
      <c r="E115" s="7" t="n"/>
      <c r="F115" s="10">
        <f>DATA!N112</f>
        <v/>
      </c>
      <c r="G115" s="11">
        <f>DATA!O112</f>
        <v/>
      </c>
      <c r="H115" s="1" t="b">
        <v>1</v>
      </c>
    </row>
    <row r="116" ht="45" customHeight="1">
      <c r="A116" s="7">
        <f>DATA!C113</f>
        <v/>
      </c>
      <c r="B116" s="10">
        <f>DATA!I113</f>
        <v/>
      </c>
      <c r="C116" s="7">
        <f>DATA!J113</f>
        <v/>
      </c>
      <c r="D116" s="13">
        <f>DATA!K113</f>
        <v/>
      </c>
      <c r="E116" s="7" t="n"/>
      <c r="F116" s="10">
        <f>DATA!N113</f>
        <v/>
      </c>
      <c r="G116" s="11">
        <f>DATA!O113</f>
        <v/>
      </c>
      <c r="H116" s="1" t="b">
        <v>1</v>
      </c>
    </row>
    <row r="117">
      <c r="A117" s="7">
        <f>DATA!C114</f>
        <v/>
      </c>
      <c r="B117" s="10">
        <f>DATA!I114</f>
        <v/>
      </c>
      <c r="C117" s="7">
        <f>DATA!J114</f>
        <v/>
      </c>
      <c r="D117" s="13">
        <f>DATA!K114</f>
        <v/>
      </c>
      <c r="E117" s="7" t="n"/>
      <c r="F117" s="10">
        <f>DATA!N114</f>
        <v/>
      </c>
      <c r="G117" s="11">
        <f>DATA!O114</f>
        <v/>
      </c>
      <c r="H117" s="1" t="b">
        <v>1</v>
      </c>
    </row>
    <row r="118" ht="45" customHeight="1">
      <c r="A118" s="7">
        <f>DATA!C115</f>
        <v/>
      </c>
      <c r="B118" s="10">
        <f>DATA!I115</f>
        <v/>
      </c>
      <c r="C118" s="7">
        <f>DATA!J115</f>
        <v/>
      </c>
      <c r="D118" s="13">
        <f>DATA!K115</f>
        <v/>
      </c>
      <c r="E118" s="7" t="n"/>
      <c r="F118" s="10">
        <f>DATA!N115</f>
        <v/>
      </c>
      <c r="G118" s="11">
        <f>DATA!O115</f>
        <v/>
      </c>
      <c r="H118" s="1" t="b">
        <v>1</v>
      </c>
    </row>
    <row r="119">
      <c r="A119" s="7">
        <f>DATA!C116</f>
        <v/>
      </c>
      <c r="B119" s="10">
        <f>DATA!I116</f>
        <v/>
      </c>
      <c r="C119" s="7">
        <f>DATA!J116</f>
        <v/>
      </c>
      <c r="D119" s="13">
        <f>DATA!K116</f>
        <v/>
      </c>
      <c r="E119" s="7" t="n"/>
      <c r="F119" s="10">
        <f>DATA!N116</f>
        <v/>
      </c>
      <c r="G119" s="11">
        <f>DATA!O116</f>
        <v/>
      </c>
      <c r="H119" s="1" t="b">
        <v>1</v>
      </c>
    </row>
    <row r="120">
      <c r="A120" s="7">
        <f>DATA!C117</f>
        <v/>
      </c>
      <c r="B120" s="10">
        <f>DATA!I117</f>
        <v/>
      </c>
      <c r="C120" s="7">
        <f>DATA!J117</f>
        <v/>
      </c>
      <c r="D120" s="13">
        <f>DATA!K117</f>
        <v/>
      </c>
      <c r="E120" s="7" t="n"/>
      <c r="F120" s="10">
        <f>DATA!N117</f>
        <v/>
      </c>
      <c r="G120" s="11">
        <f>DATA!O117</f>
        <v/>
      </c>
      <c r="H120" s="1" t="b">
        <v>1</v>
      </c>
    </row>
    <row r="121">
      <c r="A121" s="7">
        <f>DATA!C118</f>
        <v/>
      </c>
      <c r="B121" s="10">
        <f>DATA!I118</f>
        <v/>
      </c>
      <c r="C121" s="7">
        <f>DATA!J118</f>
        <v/>
      </c>
      <c r="D121" s="13">
        <f>DATA!K118</f>
        <v/>
      </c>
      <c r="E121" s="7" t="n"/>
      <c r="F121" s="10">
        <f>DATA!N118</f>
        <v/>
      </c>
      <c r="G121" s="11">
        <f>DATA!O118</f>
        <v/>
      </c>
      <c r="H121" s="1" t="b">
        <v>1</v>
      </c>
    </row>
    <row r="122">
      <c r="A122" s="7">
        <f>DATA!C119</f>
        <v/>
      </c>
      <c r="B122" s="10">
        <f>DATA!I119</f>
        <v/>
      </c>
      <c r="C122" s="7">
        <f>DATA!J119</f>
        <v/>
      </c>
      <c r="D122" s="13">
        <f>DATA!K119</f>
        <v/>
      </c>
      <c r="E122" s="7" t="n"/>
      <c r="F122" s="10">
        <f>DATA!N119</f>
        <v/>
      </c>
      <c r="G122" s="11">
        <f>DATA!O119</f>
        <v/>
      </c>
      <c r="H122" s="1" t="b">
        <v>1</v>
      </c>
    </row>
    <row r="123">
      <c r="A123" s="7">
        <f>DATA!C120</f>
        <v/>
      </c>
      <c r="B123" s="10">
        <f>DATA!I120</f>
        <v/>
      </c>
      <c r="C123" s="7">
        <f>DATA!J120</f>
        <v/>
      </c>
      <c r="D123" s="13">
        <f>DATA!K120</f>
        <v/>
      </c>
      <c r="E123" s="7" t="n"/>
      <c r="F123" s="10">
        <f>DATA!N120</f>
        <v/>
      </c>
      <c r="G123" s="11">
        <f>DATA!O120</f>
        <v/>
      </c>
      <c r="H123" s="1" t="b">
        <v>1</v>
      </c>
    </row>
    <row r="124">
      <c r="A124" s="7">
        <f>DATA!C121</f>
        <v/>
      </c>
      <c r="B124" s="10">
        <f>DATA!I121</f>
        <v/>
      </c>
      <c r="C124" s="7">
        <f>DATA!J121</f>
        <v/>
      </c>
      <c r="D124" s="13">
        <f>DATA!K121</f>
        <v/>
      </c>
      <c r="E124" s="7" t="n"/>
      <c r="F124" s="10">
        <f>DATA!N121</f>
        <v/>
      </c>
      <c r="G124" s="11">
        <f>DATA!O121</f>
        <v/>
      </c>
      <c r="H124" s="1" t="b">
        <v>1</v>
      </c>
    </row>
    <row r="125" ht="45" customHeight="1">
      <c r="A125" s="7">
        <f>DATA!C122</f>
        <v/>
      </c>
      <c r="B125" s="10">
        <f>DATA!I122</f>
        <v/>
      </c>
      <c r="C125" s="7">
        <f>DATA!J122</f>
        <v/>
      </c>
      <c r="D125" s="13">
        <f>DATA!K122</f>
        <v/>
      </c>
      <c r="E125" s="7" t="n"/>
      <c r="F125" s="10">
        <f>DATA!N122</f>
        <v/>
      </c>
      <c r="G125" s="11">
        <f>DATA!O122</f>
        <v/>
      </c>
      <c r="H125" s="1" t="b">
        <v>1</v>
      </c>
    </row>
    <row r="126">
      <c r="A126" s="7">
        <f>DATA!C123</f>
        <v/>
      </c>
      <c r="B126" s="10">
        <f>DATA!I123</f>
        <v/>
      </c>
      <c r="C126" s="7">
        <f>DATA!J123</f>
        <v/>
      </c>
      <c r="D126" s="13">
        <f>DATA!K123</f>
        <v/>
      </c>
      <c r="E126" s="7" t="n"/>
      <c r="F126" s="10">
        <f>DATA!N123</f>
        <v/>
      </c>
      <c r="G126" s="11">
        <f>DATA!O123</f>
        <v/>
      </c>
      <c r="H126" s="1" t="b">
        <v>1</v>
      </c>
    </row>
    <row r="127">
      <c r="A127" s="7">
        <f>DATA!C124</f>
        <v/>
      </c>
      <c r="B127" s="10">
        <f>DATA!I124</f>
        <v/>
      </c>
      <c r="C127" s="7">
        <f>DATA!J124</f>
        <v/>
      </c>
      <c r="D127" s="13">
        <f>DATA!K124</f>
        <v/>
      </c>
      <c r="E127" s="7" t="n"/>
      <c r="F127" s="10">
        <f>DATA!N124</f>
        <v/>
      </c>
      <c r="G127" s="11">
        <f>DATA!O124</f>
        <v/>
      </c>
      <c r="H127" s="1" t="b">
        <v>1</v>
      </c>
    </row>
    <row r="128">
      <c r="A128" s="7">
        <f>DATA!C125</f>
        <v/>
      </c>
      <c r="B128" s="10">
        <f>DATA!I125</f>
        <v/>
      </c>
      <c r="C128" s="7">
        <f>DATA!J125</f>
        <v/>
      </c>
      <c r="D128" s="13">
        <f>DATA!K125</f>
        <v/>
      </c>
      <c r="E128" s="7" t="n"/>
      <c r="F128" s="10">
        <f>DATA!N125</f>
        <v/>
      </c>
      <c r="G128" s="11">
        <f>DATA!O125</f>
        <v/>
      </c>
      <c r="H128" s="1" t="b">
        <v>1</v>
      </c>
    </row>
    <row r="129">
      <c r="A129" s="7">
        <f>DATA!C126</f>
        <v/>
      </c>
      <c r="B129" s="10">
        <f>DATA!I126</f>
        <v/>
      </c>
      <c r="C129" s="7">
        <f>DATA!J126</f>
        <v/>
      </c>
      <c r="D129" s="13">
        <f>DATA!K126</f>
        <v/>
      </c>
      <c r="E129" s="7" t="n"/>
      <c r="F129" s="10">
        <f>DATA!N126</f>
        <v/>
      </c>
      <c r="G129" s="11">
        <f>DATA!O126</f>
        <v/>
      </c>
      <c r="H129" s="1" t="b">
        <v>1</v>
      </c>
    </row>
    <row r="130">
      <c r="A130" s="7">
        <f>DATA!C127</f>
        <v/>
      </c>
      <c r="B130" s="10">
        <f>DATA!I127</f>
        <v/>
      </c>
      <c r="C130" s="7">
        <f>DATA!J127</f>
        <v/>
      </c>
      <c r="D130" s="13">
        <f>DATA!K127</f>
        <v/>
      </c>
      <c r="E130" s="7" t="n"/>
      <c r="F130" s="10">
        <f>DATA!N127</f>
        <v/>
      </c>
      <c r="G130" s="11">
        <f>DATA!O127</f>
        <v/>
      </c>
      <c r="H130" s="1" t="b">
        <v>1</v>
      </c>
    </row>
    <row r="131">
      <c r="A131" s="7">
        <f>DATA!C128</f>
        <v/>
      </c>
      <c r="B131" s="10">
        <f>DATA!I128</f>
        <v/>
      </c>
      <c r="C131" s="7">
        <f>DATA!J128</f>
        <v/>
      </c>
      <c r="D131" s="13">
        <f>DATA!K128</f>
        <v/>
      </c>
      <c r="E131" s="7" t="n"/>
      <c r="F131" s="10">
        <f>DATA!N128</f>
        <v/>
      </c>
      <c r="G131" s="11">
        <f>DATA!O128</f>
        <v/>
      </c>
      <c r="H131" s="1" t="b">
        <v>1</v>
      </c>
    </row>
    <row r="132">
      <c r="A132" s="7">
        <f>DATA!C129</f>
        <v/>
      </c>
      <c r="B132" s="10">
        <f>DATA!I129</f>
        <v/>
      </c>
      <c r="C132" s="7">
        <f>DATA!J129</f>
        <v/>
      </c>
      <c r="D132" s="13">
        <f>DATA!K129</f>
        <v/>
      </c>
      <c r="E132" s="7" t="n"/>
      <c r="F132" s="10">
        <f>DATA!N129</f>
        <v/>
      </c>
      <c r="G132" s="11">
        <f>DATA!O129</f>
        <v/>
      </c>
      <c r="H132" s="1" t="b">
        <v>1</v>
      </c>
    </row>
    <row r="133">
      <c r="A133" s="7">
        <f>DATA!C130</f>
        <v/>
      </c>
      <c r="B133" s="10">
        <f>DATA!I130</f>
        <v/>
      </c>
      <c r="C133" s="7">
        <f>DATA!J130</f>
        <v/>
      </c>
      <c r="D133" s="13">
        <f>DATA!K130</f>
        <v/>
      </c>
      <c r="E133" s="7" t="n"/>
      <c r="F133" s="10">
        <f>DATA!N130</f>
        <v/>
      </c>
      <c r="G133" s="11">
        <f>DATA!O130</f>
        <v/>
      </c>
      <c r="H133" s="1" t="b">
        <v>1</v>
      </c>
    </row>
    <row r="134" ht="45" customHeight="1">
      <c r="A134" s="7">
        <f>DATA!C131</f>
        <v/>
      </c>
      <c r="B134" s="10">
        <f>DATA!I131</f>
        <v/>
      </c>
      <c r="C134" s="7">
        <f>DATA!J131</f>
        <v/>
      </c>
      <c r="D134" s="13">
        <f>DATA!K131</f>
        <v/>
      </c>
      <c r="E134" s="7" t="n"/>
      <c r="F134" s="10">
        <f>DATA!N131</f>
        <v/>
      </c>
      <c r="G134" s="11">
        <f>DATA!O131</f>
        <v/>
      </c>
      <c r="H134" s="1" t="b">
        <v>1</v>
      </c>
    </row>
    <row r="135" ht="30" customHeight="1">
      <c r="A135" s="7">
        <f>DATA!C132</f>
        <v/>
      </c>
      <c r="B135" s="10">
        <f>DATA!I132</f>
        <v/>
      </c>
      <c r="C135" s="7">
        <f>DATA!J132</f>
        <v/>
      </c>
      <c r="D135" s="13">
        <f>DATA!K132</f>
        <v/>
      </c>
      <c r="E135" s="7" t="n"/>
      <c r="F135" s="10">
        <f>DATA!N132</f>
        <v/>
      </c>
      <c r="G135" s="11">
        <f>DATA!O132</f>
        <v/>
      </c>
      <c r="H135" s="1" t="b">
        <v>1</v>
      </c>
    </row>
    <row r="136" ht="30" customHeight="1">
      <c r="A136" s="7">
        <f>DATA!C133</f>
        <v/>
      </c>
      <c r="B136" s="10">
        <f>DATA!I133</f>
        <v/>
      </c>
      <c r="C136" s="7">
        <f>DATA!J133</f>
        <v/>
      </c>
      <c r="D136" s="13">
        <f>DATA!K133</f>
        <v/>
      </c>
      <c r="E136" s="7" t="n"/>
      <c r="F136" s="10">
        <f>DATA!N133</f>
        <v/>
      </c>
      <c r="G136" s="11">
        <f>DATA!O133</f>
        <v/>
      </c>
      <c r="H136" s="1" t="b">
        <v>1</v>
      </c>
    </row>
    <row r="137" ht="30" customHeight="1">
      <c r="A137" s="7">
        <f>DATA!C134</f>
        <v/>
      </c>
      <c r="B137" s="10">
        <f>DATA!I134</f>
        <v/>
      </c>
      <c r="C137" s="7">
        <f>DATA!J134</f>
        <v/>
      </c>
      <c r="D137" s="13">
        <f>DATA!K134</f>
        <v/>
      </c>
      <c r="E137" s="7" t="n"/>
      <c r="F137" s="10">
        <f>DATA!N134</f>
        <v/>
      </c>
      <c r="G137" s="11">
        <f>DATA!O134</f>
        <v/>
      </c>
      <c r="H137" s="1" t="b">
        <v>1</v>
      </c>
    </row>
    <row r="138">
      <c r="A138" s="7">
        <f>DATA!C135</f>
        <v/>
      </c>
      <c r="B138" s="10">
        <f>DATA!I135</f>
        <v/>
      </c>
      <c r="C138" s="7">
        <f>DATA!J135</f>
        <v/>
      </c>
      <c r="D138" s="13">
        <f>DATA!K135</f>
        <v/>
      </c>
      <c r="E138" s="7" t="n"/>
      <c r="F138" s="10">
        <f>DATA!N135</f>
        <v/>
      </c>
      <c r="G138" s="11">
        <f>DATA!O135</f>
        <v/>
      </c>
      <c r="H138" s="1" t="b">
        <v>1</v>
      </c>
    </row>
    <row r="139">
      <c r="A139" s="7">
        <f>DATA!C136</f>
        <v/>
      </c>
      <c r="B139" s="10">
        <f>DATA!I136</f>
        <v/>
      </c>
      <c r="C139" s="7">
        <f>DATA!J136</f>
        <v/>
      </c>
      <c r="D139" s="13">
        <f>DATA!K136</f>
        <v/>
      </c>
      <c r="E139" s="7" t="n"/>
      <c r="F139" s="10">
        <f>DATA!N136</f>
        <v/>
      </c>
      <c r="G139" s="11">
        <f>DATA!O136</f>
        <v/>
      </c>
      <c r="H139" s="1" t="b">
        <v>1</v>
      </c>
    </row>
    <row r="140">
      <c r="A140" s="7">
        <f>DATA!C137</f>
        <v/>
      </c>
      <c r="B140" s="10">
        <f>DATA!I137</f>
        <v/>
      </c>
      <c r="C140" s="7">
        <f>DATA!J137</f>
        <v/>
      </c>
      <c r="D140" s="13">
        <f>DATA!K137</f>
        <v/>
      </c>
      <c r="E140" s="7" t="n"/>
      <c r="F140" s="10">
        <f>DATA!N137</f>
        <v/>
      </c>
      <c r="G140" s="11">
        <f>DATA!O137</f>
        <v/>
      </c>
      <c r="H140" s="1" t="b">
        <v>1</v>
      </c>
    </row>
    <row r="141">
      <c r="A141" s="7">
        <f>DATA!C138</f>
        <v/>
      </c>
      <c r="B141" s="10">
        <f>DATA!I138</f>
        <v/>
      </c>
      <c r="C141" s="7">
        <f>DATA!J138</f>
        <v/>
      </c>
      <c r="D141" s="13">
        <f>DATA!K138</f>
        <v/>
      </c>
      <c r="E141" s="7" t="n"/>
      <c r="F141" s="10">
        <f>DATA!N138</f>
        <v/>
      </c>
      <c r="G141" s="11">
        <f>DATA!O138</f>
        <v/>
      </c>
      <c r="H141" s="1" t="b">
        <v>1</v>
      </c>
    </row>
    <row r="142" ht="45" customHeight="1">
      <c r="A142" s="7">
        <f>DATA!C139</f>
        <v/>
      </c>
      <c r="B142" s="10">
        <f>DATA!I139</f>
        <v/>
      </c>
      <c r="C142" s="7">
        <f>DATA!J139</f>
        <v/>
      </c>
      <c r="D142" s="13">
        <f>DATA!K139</f>
        <v/>
      </c>
      <c r="E142" s="7" t="n"/>
      <c r="F142" s="10">
        <f>DATA!N139</f>
        <v/>
      </c>
      <c r="G142" s="11">
        <f>DATA!O139</f>
        <v/>
      </c>
      <c r="H142" s="1" t="b">
        <v>1</v>
      </c>
    </row>
    <row r="143">
      <c r="A143" s="7">
        <f>DATA!C140</f>
        <v/>
      </c>
      <c r="B143" s="10">
        <f>DATA!I140</f>
        <v/>
      </c>
      <c r="C143" s="7">
        <f>DATA!J140</f>
        <v/>
      </c>
      <c r="D143" s="13">
        <f>DATA!K140</f>
        <v/>
      </c>
      <c r="E143" s="7" t="n"/>
      <c r="F143" s="10">
        <f>DATA!N140</f>
        <v/>
      </c>
      <c r="G143" s="11">
        <f>DATA!O140</f>
        <v/>
      </c>
      <c r="H143" s="1" t="b">
        <v>1</v>
      </c>
    </row>
    <row r="144">
      <c r="A144" s="7">
        <f>DATA!C141</f>
        <v/>
      </c>
      <c r="B144" s="10">
        <f>DATA!I141</f>
        <v/>
      </c>
      <c r="C144" s="7">
        <f>DATA!J141</f>
        <v/>
      </c>
      <c r="D144" s="13">
        <f>DATA!K141</f>
        <v/>
      </c>
      <c r="E144" s="7" t="n"/>
      <c r="F144" s="10">
        <f>DATA!N141</f>
        <v/>
      </c>
      <c r="G144" s="11">
        <f>DATA!O141</f>
        <v/>
      </c>
      <c r="H144" s="1" t="b">
        <v>1</v>
      </c>
    </row>
    <row r="145">
      <c r="A145" s="7">
        <f>DATA!C142</f>
        <v/>
      </c>
      <c r="B145" s="10">
        <f>DATA!I142</f>
        <v/>
      </c>
      <c r="C145" s="7">
        <f>DATA!J142</f>
        <v/>
      </c>
      <c r="D145" s="13">
        <f>DATA!K142</f>
        <v/>
      </c>
      <c r="E145" s="7" t="n"/>
      <c r="F145" s="10">
        <f>DATA!N142</f>
        <v/>
      </c>
      <c r="G145" s="11">
        <f>DATA!O142</f>
        <v/>
      </c>
      <c r="H145" s="1" t="b">
        <v>1</v>
      </c>
    </row>
    <row r="146">
      <c r="A146" s="7">
        <f>DATA!C143</f>
        <v/>
      </c>
      <c r="B146" s="10">
        <f>DATA!I143</f>
        <v/>
      </c>
      <c r="C146" s="7">
        <f>DATA!J143</f>
        <v/>
      </c>
      <c r="D146" s="13">
        <f>DATA!K143</f>
        <v/>
      </c>
      <c r="E146" s="7" t="n"/>
      <c r="F146" s="10">
        <f>DATA!N143</f>
        <v/>
      </c>
      <c r="G146" s="11">
        <f>DATA!O143</f>
        <v/>
      </c>
      <c r="H146" s="1" t="b">
        <v>1</v>
      </c>
    </row>
    <row r="147">
      <c r="A147" s="7">
        <f>DATA!C144</f>
        <v/>
      </c>
      <c r="B147" s="10">
        <f>DATA!I144</f>
        <v/>
      </c>
      <c r="C147" s="7">
        <f>DATA!J144</f>
        <v/>
      </c>
      <c r="D147" s="13">
        <f>DATA!K144</f>
        <v/>
      </c>
      <c r="E147" s="7" t="n"/>
      <c r="F147" s="10">
        <f>DATA!N144</f>
        <v/>
      </c>
      <c r="G147" s="11">
        <f>DATA!O144</f>
        <v/>
      </c>
      <c r="H147" s="1" t="b">
        <v>1</v>
      </c>
    </row>
    <row r="148">
      <c r="A148" s="7">
        <f>DATA!C145</f>
        <v/>
      </c>
      <c r="B148" s="10">
        <f>DATA!I145</f>
        <v/>
      </c>
      <c r="C148" s="7">
        <f>DATA!J145</f>
        <v/>
      </c>
      <c r="D148" s="13">
        <f>DATA!K145</f>
        <v/>
      </c>
      <c r="E148" s="7" t="n"/>
      <c r="F148" s="10">
        <f>DATA!N145</f>
        <v/>
      </c>
      <c r="G148" s="11">
        <f>DATA!O145</f>
        <v/>
      </c>
      <c r="H148" s="1" t="b">
        <v>1</v>
      </c>
    </row>
    <row r="149" ht="45" customHeight="1">
      <c r="A149" s="7">
        <f>DATA!C146</f>
        <v/>
      </c>
      <c r="B149" s="10">
        <f>DATA!I146</f>
        <v/>
      </c>
      <c r="C149" s="7">
        <f>DATA!J146</f>
        <v/>
      </c>
      <c r="D149" s="13">
        <f>DATA!K146</f>
        <v/>
      </c>
      <c r="E149" s="7" t="n"/>
      <c r="F149" s="10">
        <f>DATA!N146</f>
        <v/>
      </c>
      <c r="G149" s="11">
        <f>DATA!O146</f>
        <v/>
      </c>
      <c r="H149" s="1" t="b">
        <v>1</v>
      </c>
    </row>
    <row r="150">
      <c r="A150" s="7">
        <f>DATA!C147</f>
        <v/>
      </c>
      <c r="B150" s="10">
        <f>DATA!I147</f>
        <v/>
      </c>
      <c r="C150" s="7">
        <f>DATA!J147</f>
        <v/>
      </c>
      <c r="D150" s="13">
        <f>DATA!K147</f>
        <v/>
      </c>
      <c r="E150" s="7" t="n"/>
      <c r="F150" s="10">
        <f>DATA!N147</f>
        <v/>
      </c>
      <c r="G150" s="11">
        <f>DATA!O147</f>
        <v/>
      </c>
      <c r="H150" s="1" t="b">
        <v>1</v>
      </c>
    </row>
    <row r="151" ht="45" customHeight="1">
      <c r="A151" s="7">
        <f>DATA!C148</f>
        <v/>
      </c>
      <c r="B151" s="10">
        <f>DATA!I148</f>
        <v/>
      </c>
      <c r="C151" s="7">
        <f>DATA!J148</f>
        <v/>
      </c>
      <c r="D151" s="13">
        <f>DATA!K148</f>
        <v/>
      </c>
      <c r="E151" s="7" t="n"/>
      <c r="F151" s="10">
        <f>DATA!N148</f>
        <v/>
      </c>
      <c r="G151" s="11">
        <f>DATA!O148</f>
        <v/>
      </c>
      <c r="H151" s="1" t="b">
        <v>1</v>
      </c>
    </row>
    <row r="152">
      <c r="A152" s="7">
        <f>DATA!C149</f>
        <v/>
      </c>
      <c r="B152" s="10">
        <f>DATA!I149</f>
        <v/>
      </c>
      <c r="C152" s="7">
        <f>DATA!J149</f>
        <v/>
      </c>
      <c r="D152" s="13">
        <f>DATA!K149</f>
        <v/>
      </c>
      <c r="E152" s="7" t="n"/>
      <c r="F152" s="10">
        <f>DATA!N149</f>
        <v/>
      </c>
      <c r="G152" s="11">
        <f>DATA!O149</f>
        <v/>
      </c>
      <c r="H152" s="1" t="b">
        <v>1</v>
      </c>
    </row>
    <row r="153">
      <c r="A153" s="7">
        <f>DATA!C150</f>
        <v/>
      </c>
      <c r="B153" s="10">
        <f>DATA!I150</f>
        <v/>
      </c>
      <c r="C153" s="7">
        <f>DATA!J150</f>
        <v/>
      </c>
      <c r="D153" s="13">
        <f>DATA!K150</f>
        <v/>
      </c>
      <c r="E153" s="7" t="n"/>
      <c r="F153" s="10">
        <f>DATA!N150</f>
        <v/>
      </c>
      <c r="G153" s="11">
        <f>DATA!O150</f>
        <v/>
      </c>
      <c r="H153" s="1" t="b">
        <v>1</v>
      </c>
    </row>
    <row r="154">
      <c r="A154" s="7">
        <f>DATA!C151</f>
        <v/>
      </c>
      <c r="B154" s="10">
        <f>DATA!I151</f>
        <v/>
      </c>
      <c r="C154" s="7">
        <f>DATA!J151</f>
        <v/>
      </c>
      <c r="D154" s="13">
        <f>DATA!K151</f>
        <v/>
      </c>
      <c r="E154" s="7" t="n"/>
      <c r="F154" s="10">
        <f>DATA!N151</f>
        <v/>
      </c>
      <c r="G154" s="11">
        <f>DATA!O151</f>
        <v/>
      </c>
      <c r="H154" s="1" t="b">
        <v>1</v>
      </c>
    </row>
    <row r="155" ht="45" customHeight="1">
      <c r="A155" s="7">
        <f>DATA!C152</f>
        <v/>
      </c>
      <c r="B155" s="10">
        <f>DATA!I152</f>
        <v/>
      </c>
      <c r="C155" s="7">
        <f>DATA!J152</f>
        <v/>
      </c>
      <c r="D155" s="13">
        <f>DATA!K152</f>
        <v/>
      </c>
      <c r="E155" s="7" t="n"/>
      <c r="F155" s="10">
        <f>DATA!N152</f>
        <v/>
      </c>
      <c r="G155" s="11">
        <f>DATA!O152</f>
        <v/>
      </c>
      <c r="H155" s="1" t="b">
        <v>1</v>
      </c>
    </row>
    <row r="156" ht="30" customHeight="1">
      <c r="A156" s="7">
        <f>DATA!C153</f>
        <v/>
      </c>
      <c r="B156" s="10">
        <f>DATA!I153</f>
        <v/>
      </c>
      <c r="C156" s="7">
        <f>DATA!J153</f>
        <v/>
      </c>
      <c r="D156" s="13">
        <f>DATA!K153</f>
        <v/>
      </c>
      <c r="E156" s="7" t="n"/>
      <c r="F156" s="10">
        <f>DATA!N153</f>
        <v/>
      </c>
      <c r="G156" s="11">
        <f>DATA!O153</f>
        <v/>
      </c>
      <c r="H156" s="1" t="b">
        <v>1</v>
      </c>
    </row>
    <row r="157" ht="30" customHeight="1">
      <c r="A157" s="7">
        <f>DATA!C154</f>
        <v/>
      </c>
      <c r="B157" s="10">
        <f>DATA!I154</f>
        <v/>
      </c>
      <c r="C157" s="7">
        <f>DATA!J154</f>
        <v/>
      </c>
      <c r="D157" s="13">
        <f>DATA!K154</f>
        <v/>
      </c>
      <c r="E157" s="7" t="n"/>
      <c r="F157" s="10">
        <f>DATA!N154</f>
        <v/>
      </c>
      <c r="G157" s="11">
        <f>DATA!O154</f>
        <v/>
      </c>
      <c r="H157" s="1" t="b">
        <v>1</v>
      </c>
    </row>
    <row r="158">
      <c r="A158" s="7">
        <f>DATA!C155</f>
        <v/>
      </c>
      <c r="B158" s="10">
        <f>DATA!I155</f>
        <v/>
      </c>
      <c r="C158" s="7">
        <f>DATA!J155</f>
        <v/>
      </c>
      <c r="D158" s="13">
        <f>DATA!K155</f>
        <v/>
      </c>
      <c r="E158" s="7" t="n"/>
      <c r="F158" s="10">
        <f>DATA!N155</f>
        <v/>
      </c>
      <c r="G158" s="11">
        <f>DATA!O155</f>
        <v/>
      </c>
      <c r="H158" s="1" t="b">
        <v>1</v>
      </c>
    </row>
    <row r="159">
      <c r="A159" s="7">
        <f>DATA!C156</f>
        <v/>
      </c>
      <c r="B159" s="10">
        <f>DATA!I156</f>
        <v/>
      </c>
      <c r="C159" s="7">
        <f>DATA!J156</f>
        <v/>
      </c>
      <c r="D159" s="13">
        <f>DATA!K156</f>
        <v/>
      </c>
      <c r="E159" s="7" t="n"/>
      <c r="F159" s="10">
        <f>DATA!N156</f>
        <v/>
      </c>
      <c r="G159" s="11">
        <f>DATA!O156</f>
        <v/>
      </c>
      <c r="H159" s="1" t="b">
        <v>1</v>
      </c>
    </row>
    <row r="160">
      <c r="A160" s="7">
        <f>DATA!C157</f>
        <v/>
      </c>
      <c r="B160" s="10">
        <f>DATA!I157</f>
        <v/>
      </c>
      <c r="C160" s="7">
        <f>DATA!J157</f>
        <v/>
      </c>
      <c r="D160" s="13">
        <f>DATA!K157</f>
        <v/>
      </c>
      <c r="E160" s="7" t="n"/>
      <c r="F160" s="10">
        <f>DATA!N157</f>
        <v/>
      </c>
      <c r="G160" s="11">
        <f>DATA!O157</f>
        <v/>
      </c>
      <c r="H160" s="1" t="b">
        <v>1</v>
      </c>
    </row>
    <row r="161">
      <c r="A161" s="7">
        <f>DATA!C158</f>
        <v/>
      </c>
      <c r="B161" s="10">
        <f>DATA!I158</f>
        <v/>
      </c>
      <c r="C161" s="7">
        <f>DATA!J158</f>
        <v/>
      </c>
      <c r="D161" s="13">
        <f>DATA!K158</f>
        <v/>
      </c>
      <c r="E161" s="7" t="n"/>
      <c r="F161" s="10">
        <f>DATA!N158</f>
        <v/>
      </c>
      <c r="G161" s="11">
        <f>DATA!O158</f>
        <v/>
      </c>
      <c r="H161" s="1" t="b">
        <v>1</v>
      </c>
    </row>
    <row r="162">
      <c r="A162" s="7">
        <f>DATA!C159</f>
        <v/>
      </c>
      <c r="B162" s="10">
        <f>DATA!I159</f>
        <v/>
      </c>
      <c r="C162" s="7">
        <f>DATA!J159</f>
        <v/>
      </c>
      <c r="D162" s="13">
        <f>DATA!K159</f>
        <v/>
      </c>
      <c r="E162" s="7" t="n"/>
      <c r="F162" s="10">
        <f>DATA!N159</f>
        <v/>
      </c>
      <c r="G162" s="11">
        <f>DATA!O159</f>
        <v/>
      </c>
      <c r="H162" s="1" t="b">
        <v>1</v>
      </c>
    </row>
    <row r="163">
      <c r="A163" s="7">
        <f>DATA!C160</f>
        <v/>
      </c>
      <c r="B163" s="10">
        <f>DATA!I160</f>
        <v/>
      </c>
      <c r="C163" s="7">
        <f>DATA!J160</f>
        <v/>
      </c>
      <c r="D163" s="13">
        <f>DATA!K160</f>
        <v/>
      </c>
      <c r="E163" s="7" t="n"/>
      <c r="F163" s="10">
        <f>DATA!N160</f>
        <v/>
      </c>
      <c r="G163" s="11">
        <f>DATA!O160</f>
        <v/>
      </c>
      <c r="H163" s="1" t="b">
        <v>1</v>
      </c>
    </row>
    <row r="164">
      <c r="A164" s="7">
        <f>DATA!C161</f>
        <v/>
      </c>
      <c r="B164" s="10">
        <f>DATA!I161</f>
        <v/>
      </c>
      <c r="C164" s="7">
        <f>DATA!J161</f>
        <v/>
      </c>
      <c r="D164" s="13">
        <f>DATA!K161</f>
        <v/>
      </c>
      <c r="E164" s="7" t="n"/>
      <c r="F164" s="10">
        <f>DATA!N161</f>
        <v/>
      </c>
      <c r="G164" s="11">
        <f>DATA!O161</f>
        <v/>
      </c>
      <c r="H164" s="1" t="b">
        <v>1</v>
      </c>
    </row>
    <row r="165">
      <c r="A165" s="7">
        <f>DATA!C162</f>
        <v/>
      </c>
      <c r="B165" s="10">
        <f>DATA!I162</f>
        <v/>
      </c>
      <c r="C165" s="7">
        <f>DATA!J162</f>
        <v/>
      </c>
      <c r="D165" s="13">
        <f>DATA!K162</f>
        <v/>
      </c>
      <c r="E165" s="7" t="n"/>
      <c r="F165" s="10">
        <f>DATA!N162</f>
        <v/>
      </c>
      <c r="G165" s="11">
        <f>DATA!O162</f>
        <v/>
      </c>
      <c r="H165" s="1" t="b">
        <v>1</v>
      </c>
    </row>
    <row r="166">
      <c r="A166" s="7">
        <f>DATA!C163</f>
        <v/>
      </c>
      <c r="B166" s="10">
        <f>DATA!I163</f>
        <v/>
      </c>
      <c r="C166" s="7">
        <f>DATA!J163</f>
        <v/>
      </c>
      <c r="D166" s="13">
        <f>DATA!K163</f>
        <v/>
      </c>
      <c r="E166" s="7" t="n"/>
      <c r="F166" s="10">
        <f>DATA!N163</f>
        <v/>
      </c>
      <c r="G166" s="11">
        <f>DATA!O163</f>
        <v/>
      </c>
      <c r="H166" s="1" t="b">
        <v>1</v>
      </c>
    </row>
    <row r="167">
      <c r="A167" s="7">
        <f>DATA!C164</f>
        <v/>
      </c>
      <c r="B167" s="10">
        <f>DATA!I164</f>
        <v/>
      </c>
      <c r="C167" s="7">
        <f>DATA!J164</f>
        <v/>
      </c>
      <c r="D167" s="13">
        <f>DATA!K164</f>
        <v/>
      </c>
      <c r="E167" s="7" t="n"/>
      <c r="F167" s="10">
        <f>DATA!N164</f>
        <v/>
      </c>
      <c r="G167" s="11">
        <f>DATA!O164</f>
        <v/>
      </c>
      <c r="H167" s="1" t="b">
        <v>1</v>
      </c>
    </row>
    <row r="168">
      <c r="A168" s="7">
        <f>DATA!C165</f>
        <v/>
      </c>
      <c r="B168" s="10">
        <f>DATA!I165</f>
        <v/>
      </c>
      <c r="C168" s="7">
        <f>DATA!J165</f>
        <v/>
      </c>
      <c r="D168" s="13">
        <f>DATA!K165</f>
        <v/>
      </c>
      <c r="E168" s="7" t="n"/>
      <c r="F168" s="10">
        <f>DATA!N165</f>
        <v/>
      </c>
      <c r="G168" s="11">
        <f>DATA!O165</f>
        <v/>
      </c>
      <c r="H168" s="1" t="b">
        <v>1</v>
      </c>
    </row>
    <row r="169">
      <c r="A169" s="7">
        <f>DATA!C166</f>
        <v/>
      </c>
      <c r="B169" s="10">
        <f>DATA!I166</f>
        <v/>
      </c>
      <c r="C169" s="7">
        <f>DATA!J166</f>
        <v/>
      </c>
      <c r="D169" s="13">
        <f>DATA!K166</f>
        <v/>
      </c>
      <c r="E169" s="7" t="n"/>
      <c r="F169" s="10">
        <f>DATA!N166</f>
        <v/>
      </c>
      <c r="G169" s="11">
        <f>DATA!O166</f>
        <v/>
      </c>
      <c r="H169" s="1" t="b">
        <v>1</v>
      </c>
    </row>
    <row r="170">
      <c r="A170" s="7">
        <f>DATA!C167</f>
        <v/>
      </c>
      <c r="B170" s="10">
        <f>DATA!I167</f>
        <v/>
      </c>
      <c r="C170" s="7">
        <f>DATA!J167</f>
        <v/>
      </c>
      <c r="D170" s="13">
        <f>DATA!K167</f>
        <v/>
      </c>
      <c r="E170" s="7" t="n"/>
      <c r="F170" s="10">
        <f>DATA!N167</f>
        <v/>
      </c>
      <c r="G170" s="11">
        <f>DATA!O167</f>
        <v/>
      </c>
      <c r="H170" s="1" t="b">
        <v>1</v>
      </c>
    </row>
    <row r="171">
      <c r="A171" s="7">
        <f>DATA!C168</f>
        <v/>
      </c>
      <c r="B171" s="10">
        <f>DATA!I168</f>
        <v/>
      </c>
      <c r="C171" s="7">
        <f>DATA!J168</f>
        <v/>
      </c>
      <c r="D171" s="13">
        <f>DATA!K168</f>
        <v/>
      </c>
      <c r="E171" s="7" t="n"/>
      <c r="F171" s="10">
        <f>DATA!N168</f>
        <v/>
      </c>
      <c r="G171" s="11">
        <f>DATA!O168</f>
        <v/>
      </c>
      <c r="H171" s="1" t="b">
        <v>1</v>
      </c>
    </row>
    <row r="172">
      <c r="A172" s="7">
        <f>DATA!C169</f>
        <v/>
      </c>
      <c r="B172" s="10">
        <f>DATA!I169</f>
        <v/>
      </c>
      <c r="C172" s="7">
        <f>DATA!J169</f>
        <v/>
      </c>
      <c r="D172" s="13">
        <f>DATA!K169</f>
        <v/>
      </c>
      <c r="E172" s="7" t="n"/>
      <c r="F172" s="10">
        <f>DATA!N169</f>
        <v/>
      </c>
      <c r="G172" s="11">
        <f>DATA!O169</f>
        <v/>
      </c>
      <c r="H172" s="1" t="b">
        <v>1</v>
      </c>
    </row>
    <row r="173">
      <c r="A173" s="7">
        <f>DATA!C170</f>
        <v/>
      </c>
      <c r="B173" s="10">
        <f>DATA!I170</f>
        <v/>
      </c>
      <c r="C173" s="7">
        <f>DATA!J170</f>
        <v/>
      </c>
      <c r="D173" s="13">
        <f>DATA!K170</f>
        <v/>
      </c>
      <c r="E173" s="7" t="n"/>
      <c r="F173" s="10">
        <f>DATA!N170</f>
        <v/>
      </c>
      <c r="G173" s="11">
        <f>DATA!O170</f>
        <v/>
      </c>
      <c r="H173" s="1" t="b">
        <v>1</v>
      </c>
    </row>
    <row r="174">
      <c r="A174" s="7">
        <f>DATA!C171</f>
        <v/>
      </c>
      <c r="B174" s="10">
        <f>DATA!I171</f>
        <v/>
      </c>
      <c r="C174" s="7">
        <f>DATA!J171</f>
        <v/>
      </c>
      <c r="D174" s="13">
        <f>DATA!K171</f>
        <v/>
      </c>
      <c r="E174" s="7" t="n"/>
      <c r="F174" s="10">
        <f>DATA!N171</f>
        <v/>
      </c>
      <c r="G174" s="11">
        <f>DATA!O171</f>
        <v/>
      </c>
      <c r="H174" s="1" t="b">
        <v>1</v>
      </c>
    </row>
    <row r="175">
      <c r="A175" s="7">
        <f>DATA!C172</f>
        <v/>
      </c>
      <c r="B175" s="10">
        <f>DATA!I172</f>
        <v/>
      </c>
      <c r="C175" s="7">
        <f>DATA!J172</f>
        <v/>
      </c>
      <c r="D175" s="13">
        <f>DATA!K172</f>
        <v/>
      </c>
      <c r="E175" s="7" t="n"/>
      <c r="F175" s="10">
        <f>DATA!N172</f>
        <v/>
      </c>
      <c r="G175" s="11">
        <f>DATA!O172</f>
        <v/>
      </c>
      <c r="H175" s="1" t="b">
        <v>1</v>
      </c>
    </row>
    <row r="176">
      <c r="A176" s="7">
        <f>DATA!C173</f>
        <v/>
      </c>
      <c r="B176" s="10">
        <f>DATA!I173</f>
        <v/>
      </c>
      <c r="C176" s="7">
        <f>DATA!J173</f>
        <v/>
      </c>
      <c r="D176" s="13">
        <f>DATA!K173</f>
        <v/>
      </c>
      <c r="E176" s="7" t="n"/>
      <c r="F176" s="10">
        <f>DATA!N173</f>
        <v/>
      </c>
      <c r="G176" s="11">
        <f>DATA!O173</f>
        <v/>
      </c>
      <c r="H176" s="1" t="b">
        <v>1</v>
      </c>
    </row>
    <row r="177">
      <c r="A177" s="7">
        <f>DATA!C174</f>
        <v/>
      </c>
      <c r="B177" s="10">
        <f>DATA!I174</f>
        <v/>
      </c>
      <c r="C177" s="7">
        <f>DATA!J174</f>
        <v/>
      </c>
      <c r="D177" s="13">
        <f>DATA!K174</f>
        <v/>
      </c>
      <c r="E177" s="7" t="n"/>
      <c r="F177" s="10">
        <f>DATA!N174</f>
        <v/>
      </c>
      <c r="G177" s="11">
        <f>DATA!O174</f>
        <v/>
      </c>
      <c r="H177" s="1" t="b">
        <v>1</v>
      </c>
    </row>
    <row r="178">
      <c r="A178" s="7">
        <f>DATA!C175</f>
        <v/>
      </c>
      <c r="B178" s="10">
        <f>DATA!I175</f>
        <v/>
      </c>
      <c r="C178" s="7">
        <f>DATA!J175</f>
        <v/>
      </c>
      <c r="D178" s="13">
        <f>DATA!K175</f>
        <v/>
      </c>
      <c r="E178" s="7" t="n"/>
      <c r="F178" s="10">
        <f>DATA!N175</f>
        <v/>
      </c>
      <c r="G178" s="11">
        <f>DATA!O175</f>
        <v/>
      </c>
      <c r="H178" s="1" t="b">
        <v>1</v>
      </c>
    </row>
    <row r="179">
      <c r="A179" s="7">
        <f>DATA!C176</f>
        <v/>
      </c>
      <c r="B179" s="10">
        <f>DATA!I176</f>
        <v/>
      </c>
      <c r="C179" s="7">
        <f>DATA!J176</f>
        <v/>
      </c>
      <c r="D179" s="13">
        <f>DATA!K176</f>
        <v/>
      </c>
      <c r="E179" s="7" t="n"/>
      <c r="F179" s="10">
        <f>DATA!N176</f>
        <v/>
      </c>
      <c r="G179" s="11">
        <f>DATA!O176</f>
        <v/>
      </c>
      <c r="H179" s="1" t="b">
        <v>1</v>
      </c>
    </row>
    <row r="180">
      <c r="A180" s="7">
        <f>DATA!C177</f>
        <v/>
      </c>
      <c r="B180" s="10">
        <f>DATA!I177</f>
        <v/>
      </c>
      <c r="C180" s="7">
        <f>DATA!J177</f>
        <v/>
      </c>
      <c r="D180" s="13">
        <f>DATA!K177</f>
        <v/>
      </c>
      <c r="E180" s="7" t="n"/>
      <c r="F180" s="10">
        <f>DATA!N177</f>
        <v/>
      </c>
      <c r="G180" s="11">
        <f>DATA!O177</f>
        <v/>
      </c>
      <c r="H180" s="1" t="b">
        <v>1</v>
      </c>
    </row>
    <row r="181">
      <c r="A181" s="7">
        <f>DATA!C178</f>
        <v/>
      </c>
      <c r="B181" s="10">
        <f>DATA!I178</f>
        <v/>
      </c>
      <c r="C181" s="7">
        <f>DATA!J178</f>
        <v/>
      </c>
      <c r="D181" s="13">
        <f>DATA!K178</f>
        <v/>
      </c>
      <c r="E181" s="7" t="n"/>
      <c r="F181" s="10">
        <f>DATA!N178</f>
        <v/>
      </c>
      <c r="G181" s="11">
        <f>DATA!O178</f>
        <v/>
      </c>
      <c r="H181" s="1" t="b">
        <v>1</v>
      </c>
    </row>
    <row r="182">
      <c r="A182" s="7">
        <f>DATA!C179</f>
        <v/>
      </c>
      <c r="B182" s="10">
        <f>DATA!I179</f>
        <v/>
      </c>
      <c r="C182" s="7">
        <f>DATA!J179</f>
        <v/>
      </c>
      <c r="D182" s="13">
        <f>DATA!K179</f>
        <v/>
      </c>
      <c r="E182" s="7" t="n"/>
      <c r="F182" s="10">
        <f>DATA!N179</f>
        <v/>
      </c>
      <c r="G182" s="11">
        <f>DATA!O179</f>
        <v/>
      </c>
      <c r="H182" s="1" t="b">
        <v>1</v>
      </c>
    </row>
    <row r="183">
      <c r="A183" s="7">
        <f>DATA!C180</f>
        <v/>
      </c>
      <c r="B183" s="10">
        <f>DATA!I180</f>
        <v/>
      </c>
      <c r="C183" s="7">
        <f>DATA!J180</f>
        <v/>
      </c>
      <c r="D183" s="13">
        <f>DATA!K180</f>
        <v/>
      </c>
      <c r="E183" s="7" t="n"/>
      <c r="F183" s="10">
        <f>DATA!N180</f>
        <v/>
      </c>
      <c r="G183" s="11">
        <f>DATA!O180</f>
        <v/>
      </c>
      <c r="H183" s="1" t="b">
        <v>1</v>
      </c>
    </row>
    <row r="184">
      <c r="A184" s="7">
        <f>DATA!C181</f>
        <v/>
      </c>
      <c r="B184" s="10">
        <f>DATA!I181</f>
        <v/>
      </c>
      <c r="C184" s="7">
        <f>DATA!J181</f>
        <v/>
      </c>
      <c r="D184" s="13">
        <f>DATA!K181</f>
        <v/>
      </c>
      <c r="E184" s="7" t="n"/>
      <c r="F184" s="10">
        <f>DATA!N181</f>
        <v/>
      </c>
      <c r="G184" s="11">
        <f>DATA!O181</f>
        <v/>
      </c>
      <c r="H184" s="1" t="b">
        <v>1</v>
      </c>
    </row>
    <row r="185">
      <c r="A185" s="7">
        <f>DATA!C182</f>
        <v/>
      </c>
      <c r="B185" s="10">
        <f>DATA!I182</f>
        <v/>
      </c>
      <c r="C185" s="7">
        <f>DATA!J182</f>
        <v/>
      </c>
      <c r="D185" s="13">
        <f>DATA!K182</f>
        <v/>
      </c>
      <c r="E185" s="7" t="n"/>
      <c r="F185" s="10">
        <f>DATA!N182</f>
        <v/>
      </c>
      <c r="G185" s="11">
        <f>DATA!O182</f>
        <v/>
      </c>
      <c r="H185" s="1" t="b">
        <v>1</v>
      </c>
    </row>
    <row r="186">
      <c r="A186" s="7">
        <f>DATA!C183</f>
        <v/>
      </c>
      <c r="B186" s="10">
        <f>DATA!I183</f>
        <v/>
      </c>
      <c r="C186" s="7">
        <f>DATA!J183</f>
        <v/>
      </c>
      <c r="D186" s="13">
        <f>DATA!K183</f>
        <v/>
      </c>
      <c r="E186" s="7" t="n"/>
      <c r="F186" s="10">
        <f>DATA!N183</f>
        <v/>
      </c>
      <c r="G186" s="11">
        <f>DATA!O183</f>
        <v/>
      </c>
      <c r="H186" s="1" t="b">
        <v>1</v>
      </c>
    </row>
    <row r="187">
      <c r="A187" s="7">
        <f>DATA!C184</f>
        <v/>
      </c>
      <c r="B187" s="10">
        <f>DATA!I184</f>
        <v/>
      </c>
      <c r="C187" s="7">
        <f>DATA!J184</f>
        <v/>
      </c>
      <c r="D187" s="13">
        <f>DATA!K184</f>
        <v/>
      </c>
      <c r="E187" s="7" t="n"/>
      <c r="F187" s="10">
        <f>DATA!N184</f>
        <v/>
      </c>
      <c r="G187" s="11">
        <f>DATA!O184</f>
        <v/>
      </c>
      <c r="H187" s="1" t="b">
        <v>1</v>
      </c>
    </row>
    <row r="188">
      <c r="A188" s="7">
        <f>DATA!C185</f>
        <v/>
      </c>
      <c r="B188" s="10">
        <f>DATA!I185</f>
        <v/>
      </c>
      <c r="C188" s="7">
        <f>DATA!J185</f>
        <v/>
      </c>
      <c r="D188" s="13">
        <f>DATA!K185</f>
        <v/>
      </c>
      <c r="E188" s="7" t="n"/>
      <c r="F188" s="10">
        <f>DATA!N185</f>
        <v/>
      </c>
      <c r="G188" s="11">
        <f>DATA!O185</f>
        <v/>
      </c>
      <c r="H188" s="1" t="b">
        <v>1</v>
      </c>
    </row>
    <row r="189">
      <c r="A189" s="7">
        <f>DATA!C186</f>
        <v/>
      </c>
      <c r="B189" s="10">
        <f>DATA!I186</f>
        <v/>
      </c>
      <c r="C189" s="7">
        <f>DATA!J186</f>
        <v/>
      </c>
      <c r="D189" s="13">
        <f>DATA!K186</f>
        <v/>
      </c>
      <c r="E189" s="7" t="n"/>
      <c r="F189" s="10">
        <f>DATA!N186</f>
        <v/>
      </c>
      <c r="G189" s="11">
        <f>DATA!O186</f>
        <v/>
      </c>
      <c r="H189" s="1" t="b">
        <v>1</v>
      </c>
    </row>
    <row r="190">
      <c r="A190" s="7">
        <f>DATA!C187</f>
        <v/>
      </c>
      <c r="B190" s="10">
        <f>DATA!I187</f>
        <v/>
      </c>
      <c r="C190" s="7">
        <f>DATA!J187</f>
        <v/>
      </c>
      <c r="D190" s="13">
        <f>DATA!K187</f>
        <v/>
      </c>
      <c r="E190" s="7" t="n"/>
      <c r="F190" s="10">
        <f>DATA!N187</f>
        <v/>
      </c>
      <c r="G190" s="11">
        <f>DATA!O187</f>
        <v/>
      </c>
      <c r="H190" s="1" t="b">
        <v>1</v>
      </c>
    </row>
    <row r="191">
      <c r="A191" s="7">
        <f>DATA!C188</f>
        <v/>
      </c>
      <c r="B191" s="10">
        <f>DATA!I188</f>
        <v/>
      </c>
      <c r="C191" s="7">
        <f>DATA!J188</f>
        <v/>
      </c>
      <c r="D191" s="13">
        <f>DATA!K188</f>
        <v/>
      </c>
      <c r="E191" s="7" t="n"/>
      <c r="F191" s="10">
        <f>DATA!N188</f>
        <v/>
      </c>
      <c r="G191" s="11">
        <f>DATA!O188</f>
        <v/>
      </c>
      <c r="H191" s="1" t="b">
        <v>1</v>
      </c>
    </row>
    <row r="192">
      <c r="A192" s="7">
        <f>DATA!C189</f>
        <v/>
      </c>
      <c r="B192" s="10">
        <f>DATA!I189</f>
        <v/>
      </c>
      <c r="C192" s="7">
        <f>DATA!J189</f>
        <v/>
      </c>
      <c r="D192" s="13">
        <f>DATA!K189</f>
        <v/>
      </c>
      <c r="E192" s="7" t="n"/>
      <c r="F192" s="10">
        <f>DATA!N189</f>
        <v/>
      </c>
      <c r="G192" s="11">
        <f>DATA!O189</f>
        <v/>
      </c>
      <c r="H192" s="1" t="b">
        <v>1</v>
      </c>
    </row>
    <row r="193">
      <c r="A193" s="7">
        <f>DATA!C190</f>
        <v/>
      </c>
      <c r="B193" s="10">
        <f>DATA!I190</f>
        <v/>
      </c>
      <c r="C193" s="7">
        <f>DATA!J190</f>
        <v/>
      </c>
      <c r="D193" s="13">
        <f>DATA!K190</f>
        <v/>
      </c>
      <c r="E193" s="7" t="n"/>
      <c r="F193" s="10">
        <f>DATA!N190</f>
        <v/>
      </c>
      <c r="G193" s="11">
        <f>DATA!O190</f>
        <v/>
      </c>
      <c r="H193" s="1" t="b">
        <v>1</v>
      </c>
    </row>
    <row r="194">
      <c r="A194" s="7">
        <f>DATA!C191</f>
        <v/>
      </c>
      <c r="B194" s="10">
        <f>DATA!I191</f>
        <v/>
      </c>
      <c r="C194" s="7">
        <f>DATA!J191</f>
        <v/>
      </c>
      <c r="D194" s="13">
        <f>DATA!K191</f>
        <v/>
      </c>
      <c r="E194" s="7" t="n"/>
      <c r="F194" s="10">
        <f>DATA!N191</f>
        <v/>
      </c>
      <c r="G194" s="11">
        <f>DATA!O191</f>
        <v/>
      </c>
      <c r="H194" s="1" t="b">
        <v>1</v>
      </c>
    </row>
    <row r="195">
      <c r="A195" s="7">
        <f>DATA!C192</f>
        <v/>
      </c>
      <c r="B195" s="10">
        <f>DATA!I192</f>
        <v/>
      </c>
      <c r="C195" s="7">
        <f>DATA!J192</f>
        <v/>
      </c>
      <c r="D195" s="13">
        <f>DATA!K192</f>
        <v/>
      </c>
      <c r="E195" s="7" t="n"/>
      <c r="F195" s="10">
        <f>DATA!N192</f>
        <v/>
      </c>
      <c r="G195" s="11">
        <f>DATA!O192</f>
        <v/>
      </c>
      <c r="H195" s="1" t="b">
        <v>1</v>
      </c>
    </row>
    <row r="196">
      <c r="A196" s="7">
        <f>DATA!C193</f>
        <v/>
      </c>
      <c r="B196" s="10">
        <f>DATA!I193</f>
        <v/>
      </c>
      <c r="C196" s="7">
        <f>DATA!J193</f>
        <v/>
      </c>
      <c r="D196" s="13">
        <f>DATA!K193</f>
        <v/>
      </c>
      <c r="E196" s="7" t="n"/>
      <c r="F196" s="10">
        <f>DATA!N193</f>
        <v/>
      </c>
      <c r="G196" s="11">
        <f>DATA!O193</f>
        <v/>
      </c>
      <c r="H196" s="1" t="b">
        <v>1</v>
      </c>
    </row>
    <row r="197">
      <c r="A197" s="7">
        <f>DATA!C194</f>
        <v/>
      </c>
      <c r="B197" s="10">
        <f>DATA!I194</f>
        <v/>
      </c>
      <c r="C197" s="7">
        <f>DATA!J194</f>
        <v/>
      </c>
      <c r="D197" s="13">
        <f>DATA!K194</f>
        <v/>
      </c>
      <c r="E197" s="7" t="n"/>
      <c r="F197" s="10">
        <f>DATA!N194</f>
        <v/>
      </c>
      <c r="G197" s="11">
        <f>DATA!O194</f>
        <v/>
      </c>
      <c r="H197" s="1" t="b">
        <v>1</v>
      </c>
    </row>
    <row r="198">
      <c r="A198" s="7">
        <f>DATA!C195</f>
        <v/>
      </c>
      <c r="B198" s="10">
        <f>DATA!I195</f>
        <v/>
      </c>
      <c r="C198" s="7">
        <f>DATA!J195</f>
        <v/>
      </c>
      <c r="D198" s="13">
        <f>DATA!K195</f>
        <v/>
      </c>
      <c r="E198" s="7" t="n"/>
      <c r="F198" s="10">
        <f>DATA!N195</f>
        <v/>
      </c>
      <c r="G198" s="11">
        <f>DATA!O195</f>
        <v/>
      </c>
      <c r="H198" s="1" t="b">
        <v>1</v>
      </c>
    </row>
    <row r="199">
      <c r="A199" s="7">
        <f>DATA!C196</f>
        <v/>
      </c>
      <c r="B199" s="10">
        <f>DATA!I196</f>
        <v/>
      </c>
      <c r="C199" s="7">
        <f>DATA!J196</f>
        <v/>
      </c>
      <c r="D199" s="13">
        <f>DATA!K196</f>
        <v/>
      </c>
      <c r="E199" s="7" t="n"/>
      <c r="F199" s="10">
        <f>DATA!N196</f>
        <v/>
      </c>
      <c r="G199" s="11">
        <f>DATA!O196</f>
        <v/>
      </c>
      <c r="H199" s="1" t="b">
        <v>1</v>
      </c>
    </row>
    <row r="200">
      <c r="A200" s="7">
        <f>DATA!C197</f>
        <v/>
      </c>
      <c r="B200" s="10">
        <f>DATA!I197</f>
        <v/>
      </c>
      <c r="C200" s="7">
        <f>DATA!J197</f>
        <v/>
      </c>
      <c r="D200" s="13">
        <f>DATA!K197</f>
        <v/>
      </c>
      <c r="E200" s="7" t="n"/>
      <c r="F200" s="10">
        <f>DATA!N197</f>
        <v/>
      </c>
      <c r="G200" s="11">
        <f>DATA!O197</f>
        <v/>
      </c>
      <c r="H200" s="1" t="b">
        <v>1</v>
      </c>
    </row>
    <row r="201">
      <c r="A201" s="7">
        <f>DATA!C198</f>
        <v/>
      </c>
      <c r="B201" s="10">
        <f>DATA!I198</f>
        <v/>
      </c>
      <c r="C201" s="7">
        <f>DATA!J198</f>
        <v/>
      </c>
      <c r="D201" s="13">
        <f>DATA!K198</f>
        <v/>
      </c>
      <c r="E201" s="7" t="n"/>
      <c r="F201" s="10">
        <f>DATA!N198</f>
        <v/>
      </c>
      <c r="G201" s="11">
        <f>DATA!O198</f>
        <v/>
      </c>
      <c r="H201" s="1" t="b">
        <v>1</v>
      </c>
    </row>
    <row r="202">
      <c r="A202" s="7">
        <f>DATA!C199</f>
        <v/>
      </c>
      <c r="B202" s="10">
        <f>DATA!I199</f>
        <v/>
      </c>
      <c r="C202" s="7">
        <f>DATA!J199</f>
        <v/>
      </c>
      <c r="D202" s="13">
        <f>DATA!K199</f>
        <v/>
      </c>
      <c r="E202" s="7" t="n"/>
      <c r="F202" s="10">
        <f>DATA!N199</f>
        <v/>
      </c>
      <c r="G202" s="11">
        <f>DATA!O199</f>
        <v/>
      </c>
      <c r="H202" s="1" t="b">
        <v>1</v>
      </c>
    </row>
    <row r="203">
      <c r="A203" s="7">
        <f>DATA!C200</f>
        <v/>
      </c>
      <c r="B203" s="10">
        <f>DATA!I200</f>
        <v/>
      </c>
      <c r="C203" s="7">
        <f>DATA!J200</f>
        <v/>
      </c>
      <c r="D203" s="13">
        <f>DATA!K200</f>
        <v/>
      </c>
      <c r="E203" s="7" t="n"/>
      <c r="F203" s="10">
        <f>DATA!N200</f>
        <v/>
      </c>
      <c r="G203" s="11">
        <f>DATA!O200</f>
        <v/>
      </c>
      <c r="H203" s="1" t="b">
        <v>1</v>
      </c>
    </row>
    <row r="204">
      <c r="A204" s="7">
        <f>DATA!C201</f>
        <v/>
      </c>
      <c r="B204" s="10">
        <f>DATA!I201</f>
        <v/>
      </c>
      <c r="C204" s="7">
        <f>DATA!J201</f>
        <v/>
      </c>
      <c r="D204" s="13">
        <f>DATA!K201</f>
        <v/>
      </c>
      <c r="E204" s="7" t="n"/>
      <c r="F204" s="10">
        <f>DATA!N201</f>
        <v/>
      </c>
      <c r="G204" s="11">
        <f>DATA!O201</f>
        <v/>
      </c>
      <c r="H204" s="1" t="b">
        <v>1</v>
      </c>
    </row>
    <row r="205">
      <c r="A205" s="7">
        <f>DATA!C202</f>
        <v/>
      </c>
      <c r="B205" s="10">
        <f>DATA!I202</f>
        <v/>
      </c>
      <c r="C205" s="7">
        <f>DATA!J202</f>
        <v/>
      </c>
      <c r="D205" s="13">
        <f>DATA!K202</f>
        <v/>
      </c>
      <c r="E205" s="7" t="n"/>
      <c r="F205" s="10">
        <f>DATA!N202</f>
        <v/>
      </c>
      <c r="G205" s="11">
        <f>DATA!O202</f>
        <v/>
      </c>
      <c r="H205" s="1" t="b">
        <v>1</v>
      </c>
    </row>
    <row r="206">
      <c r="A206" s="7">
        <f>DATA!C203</f>
        <v/>
      </c>
      <c r="B206" s="10">
        <f>DATA!I203</f>
        <v/>
      </c>
      <c r="C206" s="7">
        <f>DATA!J203</f>
        <v/>
      </c>
      <c r="D206" s="13">
        <f>DATA!K203</f>
        <v/>
      </c>
      <c r="E206" s="7" t="n"/>
      <c r="F206" s="10">
        <f>DATA!N203</f>
        <v/>
      </c>
      <c r="G206" s="11">
        <f>DATA!O203</f>
        <v/>
      </c>
      <c r="H206" s="1" t="b">
        <v>1</v>
      </c>
    </row>
    <row r="207">
      <c r="A207" s="7">
        <f>DATA!C204</f>
        <v/>
      </c>
      <c r="B207" s="10">
        <f>DATA!I204</f>
        <v/>
      </c>
      <c r="C207" s="7">
        <f>DATA!J204</f>
        <v/>
      </c>
      <c r="D207" s="13">
        <f>DATA!K204</f>
        <v/>
      </c>
      <c r="E207" s="7" t="n"/>
      <c r="F207" s="10">
        <f>DATA!N204</f>
        <v/>
      </c>
      <c r="G207" s="11">
        <f>DATA!O204</f>
        <v/>
      </c>
      <c r="H207" s="1" t="b">
        <v>1</v>
      </c>
    </row>
    <row r="208">
      <c r="A208" s="7">
        <f>DATA!C205</f>
        <v/>
      </c>
      <c r="B208" s="10">
        <f>DATA!I205</f>
        <v/>
      </c>
      <c r="C208" s="7">
        <f>DATA!J205</f>
        <v/>
      </c>
      <c r="D208" s="13">
        <f>DATA!K205</f>
        <v/>
      </c>
      <c r="E208" s="7" t="n"/>
      <c r="F208" s="10">
        <f>DATA!N205</f>
        <v/>
      </c>
      <c r="G208" s="11">
        <f>DATA!O205</f>
        <v/>
      </c>
      <c r="H208" s="1" t="b">
        <v>1</v>
      </c>
    </row>
    <row r="209">
      <c r="A209" s="7">
        <f>DATA!C206</f>
        <v/>
      </c>
      <c r="B209" s="10">
        <f>DATA!I206</f>
        <v/>
      </c>
      <c r="C209" s="7">
        <f>DATA!J206</f>
        <v/>
      </c>
      <c r="D209" s="13">
        <f>DATA!K206</f>
        <v/>
      </c>
      <c r="E209" s="7" t="n"/>
      <c r="F209" s="10">
        <f>DATA!N206</f>
        <v/>
      </c>
      <c r="G209" s="11">
        <f>DATA!O206</f>
        <v/>
      </c>
      <c r="H209" s="1" t="b">
        <v>1</v>
      </c>
    </row>
    <row r="210">
      <c r="A210" s="7">
        <f>DATA!C207</f>
        <v/>
      </c>
      <c r="B210" s="10">
        <f>DATA!I207</f>
        <v/>
      </c>
      <c r="C210" s="7">
        <f>DATA!J207</f>
        <v/>
      </c>
      <c r="D210" s="13">
        <f>DATA!K207</f>
        <v/>
      </c>
      <c r="E210" s="7" t="n"/>
      <c r="F210" s="10">
        <f>DATA!N207</f>
        <v/>
      </c>
      <c r="G210" s="11">
        <f>DATA!O207</f>
        <v/>
      </c>
      <c r="H210" s="1" t="b">
        <v>1</v>
      </c>
    </row>
    <row r="211">
      <c r="A211" s="7">
        <f>DATA!C208</f>
        <v/>
      </c>
      <c r="B211" s="10">
        <f>DATA!I208</f>
        <v/>
      </c>
      <c r="C211" s="7">
        <f>DATA!J208</f>
        <v/>
      </c>
      <c r="D211" s="13">
        <f>DATA!K208</f>
        <v/>
      </c>
      <c r="E211" s="7" t="n"/>
      <c r="F211" s="10">
        <f>DATA!N208</f>
        <v/>
      </c>
      <c r="G211" s="11">
        <f>DATA!O208</f>
        <v/>
      </c>
      <c r="H211" s="1" t="b">
        <v>1</v>
      </c>
    </row>
    <row r="212">
      <c r="A212" s="7">
        <f>DATA!C209</f>
        <v/>
      </c>
      <c r="B212" s="10">
        <f>DATA!I209</f>
        <v/>
      </c>
      <c r="C212" s="7">
        <f>DATA!J209</f>
        <v/>
      </c>
      <c r="D212" s="13">
        <f>DATA!K209</f>
        <v/>
      </c>
      <c r="E212" s="7" t="n"/>
      <c r="F212" s="10">
        <f>DATA!N209</f>
        <v/>
      </c>
      <c r="G212" s="11">
        <f>DATA!O209</f>
        <v/>
      </c>
      <c r="H212" s="1" t="b">
        <v>1</v>
      </c>
    </row>
    <row r="213">
      <c r="A213" s="7">
        <f>DATA!C210</f>
        <v/>
      </c>
      <c r="B213" s="10">
        <f>DATA!I210</f>
        <v/>
      </c>
      <c r="C213" s="7">
        <f>DATA!J210</f>
        <v/>
      </c>
      <c r="D213" s="13">
        <f>DATA!K210</f>
        <v/>
      </c>
      <c r="E213" s="7" t="n"/>
      <c r="F213" s="10">
        <f>DATA!N210</f>
        <v/>
      </c>
      <c r="G213" s="11">
        <f>DATA!O210</f>
        <v/>
      </c>
      <c r="H213" s="1" t="b">
        <v>1</v>
      </c>
    </row>
    <row r="214">
      <c r="A214" s="7">
        <f>DATA!C211</f>
        <v/>
      </c>
      <c r="B214" s="10">
        <f>DATA!I211</f>
        <v/>
      </c>
      <c r="C214" s="7">
        <f>DATA!J211</f>
        <v/>
      </c>
      <c r="D214" s="13">
        <f>DATA!K211</f>
        <v/>
      </c>
      <c r="E214" s="7" t="n"/>
      <c r="F214" s="10">
        <f>DATA!N211</f>
        <v/>
      </c>
      <c r="G214" s="11">
        <f>DATA!O211</f>
        <v/>
      </c>
      <c r="H214" s="1" t="b">
        <v>1</v>
      </c>
    </row>
    <row r="215">
      <c r="A215" s="7">
        <f>DATA!C212</f>
        <v/>
      </c>
      <c r="B215" s="10">
        <f>DATA!I212</f>
        <v/>
      </c>
      <c r="C215" s="7">
        <f>DATA!J212</f>
        <v/>
      </c>
      <c r="D215" s="13">
        <f>DATA!K212</f>
        <v/>
      </c>
      <c r="E215" s="7" t="n"/>
      <c r="F215" s="10">
        <f>DATA!N212</f>
        <v/>
      </c>
      <c r="G215" s="11">
        <f>DATA!O212</f>
        <v/>
      </c>
      <c r="H215" s="1" t="b">
        <v>1</v>
      </c>
    </row>
    <row r="216">
      <c r="A216" s="7">
        <f>DATA!C213</f>
        <v/>
      </c>
      <c r="B216" s="10">
        <f>DATA!I213</f>
        <v/>
      </c>
      <c r="C216" s="7">
        <f>DATA!J213</f>
        <v/>
      </c>
      <c r="D216" s="13">
        <f>DATA!K213</f>
        <v/>
      </c>
      <c r="E216" s="7" t="n"/>
      <c r="F216" s="10">
        <f>DATA!N213</f>
        <v/>
      </c>
      <c r="G216" s="11">
        <f>DATA!O213</f>
        <v/>
      </c>
      <c r="H216" s="1" t="b">
        <v>1</v>
      </c>
    </row>
    <row r="217">
      <c r="A217" s="7">
        <f>DATA!C214</f>
        <v/>
      </c>
      <c r="B217" s="10">
        <f>DATA!I214</f>
        <v/>
      </c>
      <c r="C217" s="7">
        <f>DATA!J214</f>
        <v/>
      </c>
      <c r="D217" s="13">
        <f>DATA!K214</f>
        <v/>
      </c>
      <c r="E217" s="7" t="n"/>
      <c r="F217" s="10">
        <f>DATA!N214</f>
        <v/>
      </c>
      <c r="G217" s="11">
        <f>DATA!O214</f>
        <v/>
      </c>
      <c r="H217" s="1" t="b">
        <v>1</v>
      </c>
    </row>
    <row r="218">
      <c r="A218" s="7">
        <f>DATA!C215</f>
        <v/>
      </c>
      <c r="B218" s="10">
        <f>DATA!I215</f>
        <v/>
      </c>
      <c r="C218" s="7">
        <f>DATA!J215</f>
        <v/>
      </c>
      <c r="D218" s="13">
        <f>DATA!K215</f>
        <v/>
      </c>
      <c r="E218" s="7" t="n"/>
      <c r="F218" s="10">
        <f>DATA!N215</f>
        <v/>
      </c>
      <c r="G218" s="11">
        <f>DATA!O215</f>
        <v/>
      </c>
      <c r="H218" s="1" t="b">
        <v>1</v>
      </c>
    </row>
    <row r="219">
      <c r="A219" s="7">
        <f>DATA!C216</f>
        <v/>
      </c>
      <c r="B219" s="10">
        <f>DATA!I216</f>
        <v/>
      </c>
      <c r="C219" s="7">
        <f>DATA!J216</f>
        <v/>
      </c>
      <c r="D219" s="13">
        <f>DATA!K216</f>
        <v/>
      </c>
      <c r="E219" s="7" t="n"/>
      <c r="F219" s="10">
        <f>DATA!N216</f>
        <v/>
      </c>
      <c r="G219" s="11">
        <f>DATA!O216</f>
        <v/>
      </c>
      <c r="H219" s="1" t="b">
        <v>1</v>
      </c>
    </row>
    <row r="220">
      <c r="A220" s="7">
        <f>DATA!C217</f>
        <v/>
      </c>
      <c r="B220" s="10">
        <f>DATA!I217</f>
        <v/>
      </c>
      <c r="C220" s="7">
        <f>DATA!J217</f>
        <v/>
      </c>
      <c r="D220" s="13">
        <f>DATA!K217</f>
        <v/>
      </c>
      <c r="E220" s="7" t="n"/>
      <c r="F220" s="10">
        <f>DATA!N217</f>
        <v/>
      </c>
      <c r="G220" s="11">
        <f>DATA!O217</f>
        <v/>
      </c>
      <c r="H220" s="1" t="b">
        <v>1</v>
      </c>
    </row>
    <row r="221">
      <c r="A221" s="7">
        <f>DATA!C218</f>
        <v/>
      </c>
      <c r="B221" s="10">
        <f>DATA!I218</f>
        <v/>
      </c>
      <c r="C221" s="7">
        <f>DATA!J218</f>
        <v/>
      </c>
      <c r="D221" s="13">
        <f>DATA!K218</f>
        <v/>
      </c>
      <c r="E221" s="7" t="n"/>
      <c r="F221" s="10">
        <f>DATA!N218</f>
        <v/>
      </c>
      <c r="G221" s="11">
        <f>DATA!O218</f>
        <v/>
      </c>
      <c r="H221" s="1" t="b">
        <v>1</v>
      </c>
    </row>
    <row r="222">
      <c r="A222" s="7">
        <f>DATA!C219</f>
        <v/>
      </c>
      <c r="B222" s="10">
        <f>DATA!I219</f>
        <v/>
      </c>
      <c r="C222" s="7">
        <f>DATA!J219</f>
        <v/>
      </c>
      <c r="D222" s="13">
        <f>DATA!K219</f>
        <v/>
      </c>
      <c r="E222" s="7" t="n"/>
      <c r="F222" s="10">
        <f>DATA!N219</f>
        <v/>
      </c>
      <c r="G222" s="11">
        <f>DATA!O219</f>
        <v/>
      </c>
      <c r="H222" s="1" t="b">
        <v>1</v>
      </c>
    </row>
    <row r="223">
      <c r="A223" s="7">
        <f>DATA!C220</f>
        <v/>
      </c>
      <c r="B223" s="10">
        <f>DATA!I220</f>
        <v/>
      </c>
      <c r="C223" s="7">
        <f>DATA!J220</f>
        <v/>
      </c>
      <c r="D223" s="13">
        <f>DATA!K220</f>
        <v/>
      </c>
      <c r="E223" s="7" t="n"/>
      <c r="F223" s="10">
        <f>DATA!N220</f>
        <v/>
      </c>
      <c r="G223" s="11">
        <f>DATA!O220</f>
        <v/>
      </c>
      <c r="H223" s="1" t="b">
        <v>1</v>
      </c>
    </row>
    <row r="224">
      <c r="A224" s="7">
        <f>DATA!C221</f>
        <v/>
      </c>
      <c r="B224" s="10">
        <f>DATA!I221</f>
        <v/>
      </c>
      <c r="C224" s="7">
        <f>DATA!J221</f>
        <v/>
      </c>
      <c r="D224" s="13">
        <f>DATA!K221</f>
        <v/>
      </c>
      <c r="E224" s="7" t="n"/>
      <c r="F224" s="10">
        <f>DATA!N221</f>
        <v/>
      </c>
      <c r="G224" s="11">
        <f>DATA!O221</f>
        <v/>
      </c>
      <c r="H224" s="1" t="b">
        <v>1</v>
      </c>
    </row>
    <row r="225">
      <c r="A225" s="7">
        <f>DATA!C222</f>
        <v/>
      </c>
      <c r="B225" s="10">
        <f>DATA!I222</f>
        <v/>
      </c>
      <c r="C225" s="7">
        <f>DATA!J222</f>
        <v/>
      </c>
      <c r="D225" s="13">
        <f>DATA!K222</f>
        <v/>
      </c>
      <c r="E225" s="7" t="n"/>
      <c r="F225" s="10">
        <f>DATA!N222</f>
        <v/>
      </c>
      <c r="G225" s="11">
        <f>DATA!O222</f>
        <v/>
      </c>
      <c r="H225" s="1" t="b">
        <v>1</v>
      </c>
    </row>
    <row r="226">
      <c r="A226" s="7">
        <f>DATA!C223</f>
        <v/>
      </c>
      <c r="B226" s="10">
        <f>DATA!I223</f>
        <v/>
      </c>
      <c r="C226" s="7">
        <f>DATA!J223</f>
        <v/>
      </c>
      <c r="D226" s="13">
        <f>DATA!K223</f>
        <v/>
      </c>
      <c r="E226" s="7" t="n"/>
      <c r="F226" s="10">
        <f>DATA!N223</f>
        <v/>
      </c>
      <c r="G226" s="11">
        <f>DATA!O223</f>
        <v/>
      </c>
      <c r="H226" s="1" t="b">
        <v>1</v>
      </c>
    </row>
    <row r="227">
      <c r="A227" s="7">
        <f>DATA!C224</f>
        <v/>
      </c>
      <c r="B227" s="10">
        <f>DATA!I224</f>
        <v/>
      </c>
      <c r="C227" s="7">
        <f>DATA!J224</f>
        <v/>
      </c>
      <c r="D227" s="13">
        <f>DATA!K224</f>
        <v/>
      </c>
      <c r="E227" s="7" t="n"/>
      <c r="F227" s="10">
        <f>DATA!N224</f>
        <v/>
      </c>
      <c r="G227" s="11">
        <f>DATA!O224</f>
        <v/>
      </c>
      <c r="H227" s="1" t="b">
        <v>1</v>
      </c>
    </row>
    <row r="228">
      <c r="A228" s="7">
        <f>DATA!C225</f>
        <v/>
      </c>
      <c r="B228" s="10">
        <f>DATA!I225</f>
        <v/>
      </c>
      <c r="C228" s="7">
        <f>DATA!J225</f>
        <v/>
      </c>
      <c r="D228" s="13">
        <f>DATA!K225</f>
        <v/>
      </c>
      <c r="E228" s="7" t="n"/>
      <c r="F228" s="10">
        <f>DATA!N225</f>
        <v/>
      </c>
      <c r="G228" s="11">
        <f>DATA!O225</f>
        <v/>
      </c>
      <c r="H228" s="1" t="b">
        <v>1</v>
      </c>
    </row>
    <row r="229">
      <c r="A229" s="7">
        <f>DATA!C226</f>
        <v/>
      </c>
      <c r="B229" s="10">
        <f>DATA!I226</f>
        <v/>
      </c>
      <c r="C229" s="7">
        <f>DATA!J226</f>
        <v/>
      </c>
      <c r="D229" s="13">
        <f>DATA!K226</f>
        <v/>
      </c>
      <c r="E229" s="7" t="n"/>
      <c r="F229" s="10">
        <f>DATA!N226</f>
        <v/>
      </c>
      <c r="G229" s="11">
        <f>DATA!O226</f>
        <v/>
      </c>
      <c r="H229" s="1" t="b">
        <v>1</v>
      </c>
    </row>
    <row r="230">
      <c r="A230" s="7">
        <f>DATA!C227</f>
        <v/>
      </c>
      <c r="B230" s="10">
        <f>DATA!I227</f>
        <v/>
      </c>
      <c r="C230" s="7">
        <f>DATA!J227</f>
        <v/>
      </c>
      <c r="D230" s="13">
        <f>DATA!K227</f>
        <v/>
      </c>
      <c r="E230" s="7" t="n"/>
      <c r="F230" s="10">
        <f>DATA!N227</f>
        <v/>
      </c>
      <c r="G230" s="11">
        <f>DATA!O227</f>
        <v/>
      </c>
      <c r="H230" s="1" t="b">
        <v>1</v>
      </c>
    </row>
    <row r="231">
      <c r="A231" s="7">
        <f>DATA!C228</f>
        <v/>
      </c>
      <c r="B231" s="10">
        <f>DATA!I228</f>
        <v/>
      </c>
      <c r="C231" s="7">
        <f>DATA!J228</f>
        <v/>
      </c>
      <c r="D231" s="13">
        <f>DATA!K228</f>
        <v/>
      </c>
      <c r="E231" s="7" t="n"/>
      <c r="F231" s="10">
        <f>DATA!N228</f>
        <v/>
      </c>
      <c r="G231" s="11">
        <f>DATA!O228</f>
        <v/>
      </c>
      <c r="H231" s="1" t="b">
        <v>1</v>
      </c>
    </row>
    <row r="232">
      <c r="A232" s="7">
        <f>DATA!C229</f>
        <v/>
      </c>
      <c r="B232" s="10">
        <f>DATA!I229</f>
        <v/>
      </c>
      <c r="C232" s="7">
        <f>DATA!J229</f>
        <v/>
      </c>
      <c r="D232" s="13">
        <f>DATA!K229</f>
        <v/>
      </c>
      <c r="E232" s="7" t="n"/>
      <c r="F232" s="10">
        <f>DATA!N229</f>
        <v/>
      </c>
      <c r="G232" s="11">
        <f>DATA!O229</f>
        <v/>
      </c>
      <c r="H232" s="1" t="b">
        <v>1</v>
      </c>
    </row>
    <row r="233">
      <c r="A233" s="7">
        <f>DATA!C230</f>
        <v/>
      </c>
      <c r="B233" s="10">
        <f>DATA!I230</f>
        <v/>
      </c>
      <c r="C233" s="7">
        <f>DATA!J230</f>
        <v/>
      </c>
      <c r="D233" s="13">
        <f>DATA!K230</f>
        <v/>
      </c>
      <c r="E233" s="7" t="n"/>
      <c r="F233" s="10">
        <f>DATA!N230</f>
        <v/>
      </c>
      <c r="G233" s="11">
        <f>DATA!O230</f>
        <v/>
      </c>
      <c r="H233" s="1" t="b">
        <v>1</v>
      </c>
    </row>
    <row r="234">
      <c r="A234" s="7">
        <f>DATA!C231</f>
        <v/>
      </c>
      <c r="B234" s="10">
        <f>DATA!I231</f>
        <v/>
      </c>
      <c r="C234" s="7">
        <f>DATA!J231</f>
        <v/>
      </c>
      <c r="D234" s="13">
        <f>DATA!K231</f>
        <v/>
      </c>
      <c r="E234" s="7" t="n"/>
      <c r="F234" s="10">
        <f>DATA!N231</f>
        <v/>
      </c>
      <c r="G234" s="11">
        <f>DATA!O231</f>
        <v/>
      </c>
      <c r="H234" s="1" t="b">
        <v>1</v>
      </c>
    </row>
    <row r="235">
      <c r="A235" s="7">
        <f>DATA!C232</f>
        <v/>
      </c>
      <c r="B235" s="10">
        <f>DATA!I232</f>
        <v/>
      </c>
      <c r="C235" s="7">
        <f>DATA!J232</f>
        <v/>
      </c>
      <c r="D235" s="13">
        <f>DATA!K232</f>
        <v/>
      </c>
      <c r="E235" s="7" t="n"/>
      <c r="F235" s="10">
        <f>DATA!N232</f>
        <v/>
      </c>
      <c r="G235" s="11">
        <f>DATA!O232</f>
        <v/>
      </c>
      <c r="H235" s="1" t="b">
        <v>1</v>
      </c>
    </row>
    <row r="236">
      <c r="A236" s="7">
        <f>DATA!C233</f>
        <v/>
      </c>
      <c r="B236" s="10">
        <f>DATA!I233</f>
        <v/>
      </c>
      <c r="C236" s="7">
        <f>DATA!J233</f>
        <v/>
      </c>
      <c r="D236" s="13">
        <f>DATA!K233</f>
        <v/>
      </c>
      <c r="E236" s="7" t="n"/>
      <c r="F236" s="10">
        <f>DATA!N233</f>
        <v/>
      </c>
      <c r="G236" s="11">
        <f>DATA!O233</f>
        <v/>
      </c>
      <c r="H236" s="1" t="b">
        <v>1</v>
      </c>
    </row>
    <row r="237">
      <c r="A237" s="7">
        <f>DATA!C234</f>
        <v/>
      </c>
      <c r="B237" s="10">
        <f>DATA!I234</f>
        <v/>
      </c>
      <c r="C237" s="7">
        <f>DATA!J234</f>
        <v/>
      </c>
      <c r="D237" s="13">
        <f>DATA!K234</f>
        <v/>
      </c>
      <c r="E237" s="7" t="n"/>
      <c r="F237" s="10">
        <f>DATA!N234</f>
        <v/>
      </c>
      <c r="G237" s="11">
        <f>DATA!O234</f>
        <v/>
      </c>
      <c r="H237" s="1" t="b">
        <v>1</v>
      </c>
    </row>
    <row r="238">
      <c r="A238" s="7">
        <f>DATA!C235</f>
        <v/>
      </c>
      <c r="B238" s="10">
        <f>DATA!I235</f>
        <v/>
      </c>
      <c r="C238" s="7">
        <f>DATA!J235</f>
        <v/>
      </c>
      <c r="D238" s="13">
        <f>DATA!K235</f>
        <v/>
      </c>
      <c r="E238" s="7" t="n"/>
      <c r="F238" s="10">
        <f>DATA!N235</f>
        <v/>
      </c>
      <c r="G238" s="11">
        <f>DATA!O235</f>
        <v/>
      </c>
      <c r="H238" s="1" t="b">
        <v>1</v>
      </c>
    </row>
    <row r="239">
      <c r="A239" s="7">
        <f>DATA!C236</f>
        <v/>
      </c>
      <c r="B239" s="10">
        <f>DATA!I236</f>
        <v/>
      </c>
      <c r="C239" s="7">
        <f>DATA!J236</f>
        <v/>
      </c>
      <c r="D239" s="13">
        <f>DATA!K236</f>
        <v/>
      </c>
      <c r="E239" s="7" t="n"/>
      <c r="F239" s="10">
        <f>DATA!N236</f>
        <v/>
      </c>
      <c r="G239" s="11">
        <f>DATA!O236</f>
        <v/>
      </c>
      <c r="H239" s="1" t="b">
        <v>1</v>
      </c>
    </row>
    <row r="240">
      <c r="A240" s="7">
        <f>DATA!C237</f>
        <v/>
      </c>
      <c r="B240" s="10">
        <f>DATA!I237</f>
        <v/>
      </c>
      <c r="C240" s="7">
        <f>DATA!J237</f>
        <v/>
      </c>
      <c r="D240" s="13">
        <f>DATA!K237</f>
        <v/>
      </c>
      <c r="E240" s="7" t="n"/>
      <c r="F240" s="10">
        <f>DATA!N237</f>
        <v/>
      </c>
      <c r="G240" s="11">
        <f>DATA!O237</f>
        <v/>
      </c>
      <c r="H240" s="1" t="b">
        <v>1</v>
      </c>
    </row>
    <row r="241">
      <c r="A241" s="7">
        <f>DATA!C238</f>
        <v/>
      </c>
      <c r="B241" s="10">
        <f>DATA!I238</f>
        <v/>
      </c>
      <c r="C241" s="7">
        <f>DATA!J238</f>
        <v/>
      </c>
      <c r="D241" s="13">
        <f>DATA!K238</f>
        <v/>
      </c>
      <c r="E241" s="7" t="n"/>
      <c r="F241" s="10">
        <f>DATA!N238</f>
        <v/>
      </c>
      <c r="G241" s="11">
        <f>DATA!O238</f>
        <v/>
      </c>
      <c r="H241" s="1" t="b">
        <v>1</v>
      </c>
    </row>
    <row r="242">
      <c r="A242" s="7">
        <f>DATA!C239</f>
        <v/>
      </c>
      <c r="B242" s="10">
        <f>DATA!I239</f>
        <v/>
      </c>
      <c r="C242" s="7">
        <f>DATA!J239</f>
        <v/>
      </c>
      <c r="D242" s="13">
        <f>DATA!K239</f>
        <v/>
      </c>
      <c r="E242" s="7" t="n"/>
      <c r="F242" s="10">
        <f>DATA!N239</f>
        <v/>
      </c>
      <c r="G242" s="11">
        <f>DATA!O239</f>
        <v/>
      </c>
      <c r="H242" s="1" t="b">
        <v>1</v>
      </c>
    </row>
    <row r="243">
      <c r="A243" s="7">
        <f>DATA!C240</f>
        <v/>
      </c>
      <c r="B243" s="10">
        <f>DATA!I240</f>
        <v/>
      </c>
      <c r="C243" s="7">
        <f>DATA!J240</f>
        <v/>
      </c>
      <c r="D243" s="13">
        <f>DATA!K240</f>
        <v/>
      </c>
      <c r="E243" s="7" t="n"/>
      <c r="F243" s="10">
        <f>DATA!N240</f>
        <v/>
      </c>
      <c r="G243" s="11">
        <f>DATA!O240</f>
        <v/>
      </c>
      <c r="H243" s="1" t="b">
        <v>1</v>
      </c>
    </row>
    <row r="244">
      <c r="A244" s="7">
        <f>DATA!C241</f>
        <v/>
      </c>
      <c r="B244" s="10">
        <f>DATA!I241</f>
        <v/>
      </c>
      <c r="C244" s="7">
        <f>DATA!J241</f>
        <v/>
      </c>
      <c r="D244" s="13">
        <f>DATA!K241</f>
        <v/>
      </c>
      <c r="E244" s="7" t="n"/>
      <c r="F244" s="10">
        <f>DATA!N241</f>
        <v/>
      </c>
      <c r="G244" s="11">
        <f>DATA!O241</f>
        <v/>
      </c>
      <c r="H244" s="1" t="b">
        <v>1</v>
      </c>
    </row>
    <row r="245">
      <c r="A245" s="7">
        <f>DATA!C242</f>
        <v/>
      </c>
      <c r="B245" s="10">
        <f>DATA!I242</f>
        <v/>
      </c>
      <c r="C245" s="7">
        <f>DATA!J242</f>
        <v/>
      </c>
      <c r="D245" s="13">
        <f>DATA!K242</f>
        <v/>
      </c>
      <c r="E245" s="7" t="n"/>
      <c r="F245" s="10">
        <f>DATA!N242</f>
        <v/>
      </c>
      <c r="G245" s="11">
        <f>DATA!O242</f>
        <v/>
      </c>
      <c r="H245" s="1" t="b">
        <v>1</v>
      </c>
    </row>
    <row r="246">
      <c r="A246" s="7">
        <f>DATA!C243</f>
        <v/>
      </c>
      <c r="B246" s="10">
        <f>DATA!I243</f>
        <v/>
      </c>
      <c r="C246" s="7">
        <f>DATA!J243</f>
        <v/>
      </c>
      <c r="D246" s="13">
        <f>DATA!K243</f>
        <v/>
      </c>
      <c r="E246" s="7" t="n"/>
      <c r="F246" s="10">
        <f>DATA!N243</f>
        <v/>
      </c>
      <c r="G246" s="11">
        <f>DATA!O243</f>
        <v/>
      </c>
      <c r="H246" s="1" t="b">
        <v>1</v>
      </c>
    </row>
    <row r="247">
      <c r="A247" s="7">
        <f>DATA!C244</f>
        <v/>
      </c>
      <c r="B247" s="10">
        <f>DATA!I244</f>
        <v/>
      </c>
      <c r="C247" s="7">
        <f>DATA!J244</f>
        <v/>
      </c>
      <c r="D247" s="13">
        <f>DATA!K244</f>
        <v/>
      </c>
      <c r="E247" s="7" t="n"/>
      <c r="F247" s="10">
        <f>DATA!N244</f>
        <v/>
      </c>
      <c r="G247" s="11">
        <f>DATA!O244</f>
        <v/>
      </c>
      <c r="H247" s="1" t="b">
        <v>1</v>
      </c>
    </row>
    <row r="248">
      <c r="A248" s="7">
        <f>DATA!C245</f>
        <v/>
      </c>
      <c r="B248" s="10">
        <f>DATA!I245</f>
        <v/>
      </c>
      <c r="C248" s="7">
        <f>DATA!J245</f>
        <v/>
      </c>
      <c r="D248" s="13">
        <f>DATA!K245</f>
        <v/>
      </c>
      <c r="E248" s="7" t="n"/>
      <c r="F248" s="10">
        <f>DATA!N245</f>
        <v/>
      </c>
      <c r="G248" s="11">
        <f>DATA!O245</f>
        <v/>
      </c>
      <c r="H248" s="1" t="b">
        <v>1</v>
      </c>
    </row>
    <row r="249">
      <c r="A249" s="7">
        <f>DATA!C246</f>
        <v/>
      </c>
      <c r="B249" s="10">
        <f>DATA!I246</f>
        <v/>
      </c>
      <c r="C249" s="7">
        <f>DATA!J246</f>
        <v/>
      </c>
      <c r="D249" s="13">
        <f>DATA!K246</f>
        <v/>
      </c>
      <c r="E249" s="7" t="n"/>
      <c r="F249" s="10">
        <f>DATA!N246</f>
        <v/>
      </c>
      <c r="G249" s="11">
        <f>DATA!O246</f>
        <v/>
      </c>
      <c r="H249" s="1" t="b">
        <v>1</v>
      </c>
    </row>
    <row r="250">
      <c r="A250" s="7">
        <f>DATA!C247</f>
        <v/>
      </c>
      <c r="B250" s="10">
        <f>DATA!I247</f>
        <v/>
      </c>
      <c r="C250" s="7">
        <f>DATA!J247</f>
        <v/>
      </c>
      <c r="D250" s="13">
        <f>DATA!K247</f>
        <v/>
      </c>
      <c r="E250" s="7" t="n"/>
      <c r="F250" s="10">
        <f>DATA!N247</f>
        <v/>
      </c>
      <c r="G250" s="11">
        <f>DATA!O247</f>
        <v/>
      </c>
      <c r="H250" s="1" t="b">
        <v>1</v>
      </c>
    </row>
    <row r="251">
      <c r="A251" s="7">
        <f>DATA!C248</f>
        <v/>
      </c>
      <c r="B251" s="10">
        <f>DATA!I248</f>
        <v/>
      </c>
      <c r="C251" s="7">
        <f>DATA!J248</f>
        <v/>
      </c>
      <c r="D251" s="13">
        <f>DATA!K248</f>
        <v/>
      </c>
      <c r="E251" s="7" t="n"/>
      <c r="F251" s="10">
        <f>DATA!N248</f>
        <v/>
      </c>
      <c r="G251" s="11">
        <f>DATA!O248</f>
        <v/>
      </c>
      <c r="H251" s="1" t="b">
        <v>1</v>
      </c>
    </row>
    <row r="252">
      <c r="A252" s="7">
        <f>DATA!C249</f>
        <v/>
      </c>
      <c r="B252" s="10">
        <f>DATA!I249</f>
        <v/>
      </c>
      <c r="C252" s="7">
        <f>DATA!J249</f>
        <v/>
      </c>
      <c r="D252" s="13">
        <f>DATA!K249</f>
        <v/>
      </c>
      <c r="E252" s="7" t="n"/>
      <c r="F252" s="10">
        <f>DATA!N249</f>
        <v/>
      </c>
      <c r="G252" s="11">
        <f>DATA!O249</f>
        <v/>
      </c>
      <c r="H252" s="1" t="b">
        <v>1</v>
      </c>
    </row>
    <row r="253">
      <c r="A253" s="7">
        <f>DATA!C250</f>
        <v/>
      </c>
      <c r="B253" s="10">
        <f>DATA!I250</f>
        <v/>
      </c>
      <c r="C253" s="7">
        <f>DATA!J250</f>
        <v/>
      </c>
      <c r="D253" s="13">
        <f>DATA!K250</f>
        <v/>
      </c>
      <c r="E253" s="7" t="n"/>
      <c r="F253" s="10">
        <f>DATA!N250</f>
        <v/>
      </c>
      <c r="G253" s="11">
        <f>DATA!O250</f>
        <v/>
      </c>
      <c r="H253" s="1" t="b">
        <v>1</v>
      </c>
    </row>
  </sheetData>
  <autoFilter ref="A4:H4"/>
  <pageMargins left="0.2362204724409449" right="0.2362204724409449" top="0.5118110236220472" bottom="0.5118110236220472" header="0" footer="0"/>
  <pageSetup orientation="landscape" scale="94" fitToHeight="0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topLeftCell="A190" workbookViewId="0">
      <selection activeCell="H190" sqref="H1:XFD1048576"/>
    </sheetView>
  </sheetViews>
  <sheetFormatPr baseColWidth="8" defaultRowHeight="15"/>
  <cols>
    <col width="17.5703125" customWidth="1" style="2" min="1" max="1"/>
    <col width="46" bestFit="1" customWidth="1" min="2" max="2"/>
    <col width="12" customWidth="1" style="1" min="3" max="5"/>
    <col width="16.140625" customWidth="1" style="1" min="6" max="6"/>
    <col width="21" customWidth="1" style="1" min="7" max="7"/>
  </cols>
  <sheetData>
    <row r="1">
      <c r="A1" s="2" t="inlineStr">
        <is>
          <t>Material</t>
        </is>
      </c>
      <c r="B1" s="2" t="inlineStr">
        <is>
          <t>Material Description</t>
        </is>
      </c>
      <c r="C1" s="2" t="inlineStr">
        <is>
          <t>ACTUAL</t>
        </is>
      </c>
      <c r="D1" s="2" t="inlineStr">
        <is>
          <t>SYSTEM</t>
        </is>
      </c>
      <c r="E1" s="2" t="inlineStr">
        <is>
          <t>VARIANCE</t>
        </is>
      </c>
      <c r="F1" s="2" t="inlineStr">
        <is>
          <t>REMARKS</t>
        </is>
      </c>
      <c r="G1" s="2" t="inlineStr">
        <is>
          <t>Correction</t>
        </is>
      </c>
    </row>
    <row r="2">
      <c r="A2" t="n">
        <v>12540289</v>
      </c>
      <c r="B2">
        <f>VLOOKUP($A2,DATA!$I:$J,2,FALSE)</f>
        <v/>
      </c>
      <c r="C2" s="1">
        <f>SUMIFS(PRINT!$D:$D,PRINT!$B:$B,COMPARISON!A:A,PRINT!H:H,"TRUE")</f>
        <v/>
      </c>
      <c r="D2" s="1">
        <f>SUMIFS(DATA!$K:$K,DATA!$I:$I,COMPARISON!$A:$A)</f>
        <v/>
      </c>
      <c r="E2" s="1">
        <f>C2-D2+G2</f>
        <v/>
      </c>
      <c r="F2" s="1">
        <f>IF($E2=0,"-",IF($E2&gt;0,"OVER","SHORT"))</f>
        <v/>
      </c>
      <c r="G2" s="15" t="n"/>
    </row>
    <row r="3">
      <c r="A3" t="n">
        <v>12489220</v>
      </c>
      <c r="B3">
        <f>VLOOKUP($A3,DATA!$I:$J,2,FALSE)</f>
        <v/>
      </c>
      <c r="C3" s="1">
        <f>SUMIFS(PRINT!$D:$D,PRINT!$B:$B,COMPARISON!A:A,PRINT!H:H,"TRUE")</f>
        <v/>
      </c>
      <c r="D3" s="1">
        <f>SUMIFS(DATA!$K:$K,DATA!$I:$I,COMPARISON!$A:$A)</f>
        <v/>
      </c>
      <c r="E3" s="1">
        <f>C3-D3+G3</f>
        <v/>
      </c>
      <c r="F3" s="1">
        <f>IF($E3=0,"-",IF($E3&gt;0,"OVER","SHORT"))</f>
        <v/>
      </c>
      <c r="G3" s="15" t="n"/>
    </row>
    <row r="4">
      <c r="A4" t="n">
        <v>12413317</v>
      </c>
      <c r="B4">
        <f>VLOOKUP($A4,DATA!$I:$J,2,FALSE)</f>
        <v/>
      </c>
      <c r="C4" s="1">
        <f>SUMIFS(PRINT!$D:$D,PRINT!$B:$B,COMPARISON!A:A,PRINT!H:H,"TRUE")</f>
        <v/>
      </c>
      <c r="D4" s="1">
        <f>SUMIFS(DATA!$K:$K,DATA!$I:$I,COMPARISON!$A:$A)</f>
        <v/>
      </c>
      <c r="E4" s="1">
        <f>C4-D4+G4</f>
        <v/>
      </c>
      <c r="F4" s="1">
        <f>IF($E4=0,"-",IF($E4&gt;0,"OVER","SHORT"))</f>
        <v/>
      </c>
      <c r="G4" s="15" t="n"/>
    </row>
    <row r="5">
      <c r="A5" t="n">
        <v>12498699</v>
      </c>
      <c r="B5">
        <f>VLOOKUP($A5,DATA!$I:$J,2,FALSE)</f>
        <v/>
      </c>
      <c r="C5" s="1">
        <f>SUMIFS(PRINT!$D:$D,PRINT!$B:$B,COMPARISON!A:A,PRINT!H:H,"TRUE")</f>
        <v/>
      </c>
      <c r="D5" s="1">
        <f>SUMIFS(DATA!$K:$K,DATA!$I:$I,COMPARISON!$A:$A)</f>
        <v/>
      </c>
      <c r="E5" s="1">
        <f>C5-D5+G5</f>
        <v/>
      </c>
      <c r="F5" s="1">
        <f>IF($E5=0,"-",IF($E5&gt;0,"OVER","SHORT"))</f>
        <v/>
      </c>
      <c r="G5" s="15" t="n"/>
    </row>
    <row r="6">
      <c r="A6" t="n">
        <v>12571148</v>
      </c>
      <c r="B6">
        <f>VLOOKUP($A6,DATA!$I:$J,2,FALSE)</f>
        <v/>
      </c>
      <c r="C6" s="1">
        <f>SUMIFS(PRINT!$D:$D,PRINT!$B:$B,COMPARISON!A:A,PRINT!H:H,"TRUE")</f>
        <v/>
      </c>
      <c r="D6" s="1">
        <f>SUMIFS(DATA!$K:$K,DATA!$I:$I,COMPARISON!$A:$A)</f>
        <v/>
      </c>
      <c r="E6" s="1">
        <f>C6-D6+G6</f>
        <v/>
      </c>
      <c r="F6" s="1">
        <f>IF($E6=0,"-",IF($E6&gt;0,"OVER","SHORT"))</f>
        <v/>
      </c>
      <c r="G6" s="15" t="n"/>
    </row>
    <row r="7">
      <c r="A7" t="n">
        <v>12396047</v>
      </c>
      <c r="B7">
        <f>VLOOKUP($A7,DATA!$I:$J,2,FALSE)</f>
        <v/>
      </c>
      <c r="C7" s="1">
        <f>SUMIFS(PRINT!$D:$D,PRINT!$B:$B,COMPARISON!A:A,PRINT!H:H,"TRUE")</f>
        <v/>
      </c>
      <c r="D7" s="1">
        <f>SUMIFS(DATA!$K:$K,DATA!$I:$I,COMPARISON!$A:$A)</f>
        <v/>
      </c>
      <c r="E7" s="1">
        <f>C7-D7+G7</f>
        <v/>
      </c>
      <c r="F7" s="1">
        <f>IF($E7=0,"-",IF($E7&gt;0,"OVER","SHORT"))</f>
        <v/>
      </c>
      <c r="G7" s="15" t="n"/>
    </row>
    <row r="8">
      <c r="A8" t="n">
        <v>12538256</v>
      </c>
      <c r="B8">
        <f>VLOOKUP($A8,DATA!$I:$J,2,FALSE)</f>
        <v/>
      </c>
      <c r="C8" s="1">
        <f>SUMIFS(PRINT!$D:$D,PRINT!$B:$B,COMPARISON!A:A,PRINT!H:H,"TRUE")</f>
        <v/>
      </c>
      <c r="D8" s="1">
        <f>SUMIFS(DATA!$K:$K,DATA!$I:$I,COMPARISON!$A:$A)</f>
        <v/>
      </c>
      <c r="E8" s="1">
        <f>C8-D8+G8</f>
        <v/>
      </c>
      <c r="F8" s="1">
        <f>IF($E8=0,"-",IF($E8&gt;0,"OVER","SHORT"))</f>
        <v/>
      </c>
      <c r="G8" s="15" t="n"/>
    </row>
    <row r="9">
      <c r="A9" t="n">
        <v>12572305</v>
      </c>
      <c r="B9">
        <f>VLOOKUP($A9,DATA!$I:$J,2,FALSE)</f>
        <v/>
      </c>
      <c r="C9" s="1">
        <f>SUMIFS(PRINT!$D:$D,PRINT!$B:$B,COMPARISON!A:A,PRINT!H:H,"TRUE")</f>
        <v/>
      </c>
      <c r="D9" s="1">
        <f>SUMIFS(DATA!$K:$K,DATA!$I:$I,COMPARISON!$A:$A)</f>
        <v/>
      </c>
      <c r="E9" s="1">
        <f>C9-D9+G9</f>
        <v/>
      </c>
      <c r="F9" s="1">
        <f>IF($E9=0,"-",IF($E9&gt;0,"OVER","SHORT"))</f>
        <v/>
      </c>
      <c r="G9" s="15" t="n"/>
    </row>
    <row r="10">
      <c r="A10" t="n">
        <v>12531347</v>
      </c>
      <c r="B10">
        <f>VLOOKUP($A10,DATA!$I:$J,2,FALSE)</f>
        <v/>
      </c>
      <c r="C10" s="1">
        <f>SUMIFS(PRINT!$D:$D,PRINT!$B:$B,COMPARISON!A:A,PRINT!H:H,"TRUE")</f>
        <v/>
      </c>
      <c r="D10" s="1">
        <f>SUMIFS(DATA!$K:$K,DATA!$I:$I,COMPARISON!$A:$A)</f>
        <v/>
      </c>
      <c r="E10" s="1">
        <f>C10-D10+G10</f>
        <v/>
      </c>
      <c r="F10" s="1">
        <f>IF($E10=0,"-",IF($E10&gt;0,"OVER","SHORT"))</f>
        <v/>
      </c>
      <c r="G10" s="15" t="n"/>
    </row>
    <row r="11">
      <c r="A11" t="n">
        <v>12562968</v>
      </c>
      <c r="B11">
        <f>VLOOKUP($A11,DATA!$I:$J,2,FALSE)</f>
        <v/>
      </c>
      <c r="C11" s="1">
        <f>SUMIFS(PRINT!$D:$D,PRINT!$B:$B,COMPARISON!A:A,PRINT!H:H,"TRUE")</f>
        <v/>
      </c>
      <c r="D11" s="1">
        <f>SUMIFS(DATA!$K:$K,DATA!$I:$I,COMPARISON!$A:$A)</f>
        <v/>
      </c>
      <c r="E11" s="1">
        <f>C11-D11+G11</f>
        <v/>
      </c>
      <c r="F11" s="1">
        <f>IF($E11=0,"-",IF($E11&gt;0,"OVER","SHORT"))</f>
        <v/>
      </c>
      <c r="G11" s="15" t="n"/>
    </row>
    <row r="12">
      <c r="A12" t="n">
        <v>12396061</v>
      </c>
      <c r="B12">
        <f>VLOOKUP($A12,DATA!$I:$J,2,FALSE)</f>
        <v/>
      </c>
      <c r="C12" s="1">
        <f>SUMIFS(PRINT!$D:$D,PRINT!$B:$B,COMPARISON!A:A,PRINT!H:H,"TRUE")</f>
        <v/>
      </c>
      <c r="D12" s="1">
        <f>SUMIFS(DATA!$K:$K,DATA!$I:$I,COMPARISON!$A:$A)</f>
        <v/>
      </c>
      <c r="E12" s="1">
        <f>C12-D12+G12</f>
        <v/>
      </c>
      <c r="F12" s="1">
        <f>IF($E12=0,"-",IF($E12&gt;0,"OVER","SHORT"))</f>
        <v/>
      </c>
      <c r="G12" s="15" t="n"/>
    </row>
    <row r="13">
      <c r="A13" t="n">
        <v>12454174</v>
      </c>
      <c r="B13">
        <f>VLOOKUP($A13,DATA!$I:$J,2,FALSE)</f>
        <v/>
      </c>
      <c r="C13" s="1">
        <f>SUMIFS(PRINT!$D:$D,PRINT!$B:$B,COMPARISON!A:A,PRINT!H:H,"TRUE")</f>
        <v/>
      </c>
      <c r="D13" s="1">
        <f>SUMIFS(DATA!$K:$K,DATA!$I:$I,COMPARISON!$A:$A)</f>
        <v/>
      </c>
      <c r="E13" s="1">
        <f>C13-D13+G13</f>
        <v/>
      </c>
      <c r="F13" s="1">
        <f>IF($E13=0,"-",IF($E13&gt;0,"OVER","SHORT"))</f>
        <v/>
      </c>
      <c r="G13" s="15" t="n"/>
    </row>
    <row r="14">
      <c r="A14" t="n">
        <v>12396062</v>
      </c>
      <c r="B14">
        <f>VLOOKUP($A14,DATA!$I:$J,2,FALSE)</f>
        <v/>
      </c>
      <c r="C14" s="1">
        <f>SUMIFS(PRINT!$D:$D,PRINT!$B:$B,COMPARISON!A:A,PRINT!H:H,"TRUE")</f>
        <v/>
      </c>
      <c r="D14" s="1">
        <f>SUMIFS(DATA!$K:$K,DATA!$I:$I,COMPARISON!$A:$A)</f>
        <v/>
      </c>
      <c r="E14" s="1">
        <f>C14-D14+G14</f>
        <v/>
      </c>
      <c r="F14" s="1">
        <f>IF($E14=0,"-",IF($E14&gt;0,"OVER","SHORT"))</f>
        <v/>
      </c>
      <c r="G14" s="15" t="n"/>
    </row>
    <row r="15">
      <c r="A15" t="n">
        <v>12572331</v>
      </c>
      <c r="B15">
        <f>VLOOKUP($A15,DATA!$I:$J,2,FALSE)</f>
        <v/>
      </c>
      <c r="C15" s="1">
        <f>SUMIFS(PRINT!$D:$D,PRINT!$B:$B,COMPARISON!A:A,PRINT!H:H,"TRUE")</f>
        <v/>
      </c>
      <c r="D15" s="1">
        <f>SUMIFS(DATA!$K:$K,DATA!$I:$I,COMPARISON!$A:$A)</f>
        <v/>
      </c>
      <c r="E15" s="1">
        <f>C15-D15+G15</f>
        <v/>
      </c>
      <c r="F15" s="1">
        <f>IF($E15=0,"-",IF($E15&gt;0,"OVER","SHORT"))</f>
        <v/>
      </c>
      <c r="G15" s="15" t="n"/>
    </row>
    <row r="16">
      <c r="A16" t="n">
        <v>12550969</v>
      </c>
      <c r="B16">
        <f>VLOOKUP($A16,DATA!$I:$J,2,FALSE)</f>
        <v/>
      </c>
      <c r="C16" s="1">
        <f>SUMIFS(PRINT!$D:$D,PRINT!$B:$B,COMPARISON!A:A,PRINT!H:H,"TRUE")</f>
        <v/>
      </c>
      <c r="D16" s="1">
        <f>SUMIFS(DATA!$K:$K,DATA!$I:$I,COMPARISON!$A:$A)</f>
        <v/>
      </c>
      <c r="E16" s="1">
        <f>C16-D16+G16</f>
        <v/>
      </c>
      <c r="F16" s="1">
        <f>IF($E16=0,"-",IF($E16&gt;0,"OVER","SHORT"))</f>
        <v/>
      </c>
      <c r="G16" s="15" t="n"/>
    </row>
    <row r="17">
      <c r="A17" t="n">
        <v>12452538</v>
      </c>
      <c r="B17">
        <f>VLOOKUP($A17,DATA!$I:$J,2,FALSE)</f>
        <v/>
      </c>
      <c r="C17" s="1">
        <f>SUMIFS(PRINT!$D:$D,PRINT!$B:$B,COMPARISON!A:A,PRINT!H:H,"TRUE")</f>
        <v/>
      </c>
      <c r="D17" s="1">
        <f>SUMIFS(DATA!$K:$K,DATA!$I:$I,COMPARISON!$A:$A)</f>
        <v/>
      </c>
      <c r="E17" s="1">
        <f>C17-D17+G17</f>
        <v/>
      </c>
      <c r="F17" s="1">
        <f>IF($E17=0,"-",IF($E17&gt;0,"OVER","SHORT"))</f>
        <v/>
      </c>
      <c r="G17" s="15" t="n"/>
    </row>
    <row r="18">
      <c r="A18" t="inlineStr">
        <is>
          <t>Material</t>
        </is>
      </c>
      <c r="B18">
        <f>VLOOKUP($A18,DATA!$I:$J,2,FALSE)</f>
        <v/>
      </c>
      <c r="C18" s="1">
        <f>SUMIFS(PRINT!$D:$D,PRINT!$B:$B,COMPARISON!A:A,PRINT!H:H,"TRUE")</f>
        <v/>
      </c>
      <c r="D18" s="1">
        <f>SUMIFS(DATA!$K:$K,DATA!$I:$I,COMPARISON!$A:$A)</f>
        <v/>
      </c>
      <c r="E18" s="1">
        <f>C18-D18+G18</f>
        <v/>
      </c>
      <c r="F18" s="1">
        <f>IF($E18=0,"-",IF($E18&gt;0,"OVER","SHORT"))</f>
        <v/>
      </c>
      <c r="G18" s="15" t="n"/>
    </row>
    <row r="19">
      <c r="A19" t="n">
        <v>12495804</v>
      </c>
      <c r="B19">
        <f>VLOOKUP($A19,DATA!$I:$J,2,FALSE)</f>
        <v/>
      </c>
      <c r="C19" s="1">
        <f>SUMIFS(PRINT!$D:$D,PRINT!$B:$B,COMPARISON!A:A,PRINT!H:H,"TRUE")</f>
        <v/>
      </c>
      <c r="D19" s="1">
        <f>SUMIFS(DATA!$K:$K,DATA!$I:$I,COMPARISON!$A:$A)</f>
        <v/>
      </c>
      <c r="E19" s="1">
        <f>C19-D19+G19</f>
        <v/>
      </c>
      <c r="F19" s="1">
        <f>IF($E19=0,"-",IF($E19&gt;0,"OVER","SHORT"))</f>
        <v/>
      </c>
      <c r="G19" s="15" t="n"/>
    </row>
    <row r="20">
      <c r="A20" t="n">
        <v>12551613</v>
      </c>
      <c r="B20">
        <f>VLOOKUP($A20,DATA!$I:$J,2,FALSE)</f>
        <v/>
      </c>
      <c r="C20" s="1">
        <f>SUMIFS(PRINT!$D:$D,PRINT!$B:$B,COMPARISON!A:A,PRINT!H:H,"TRUE")</f>
        <v/>
      </c>
      <c r="D20" s="1">
        <f>SUMIFS(DATA!$K:$K,DATA!$I:$I,COMPARISON!$A:$A)</f>
        <v/>
      </c>
      <c r="E20" s="1">
        <f>C20-D20+G20</f>
        <v/>
      </c>
      <c r="F20" s="1">
        <f>IF($E20=0,"-",IF($E20&gt;0,"OVER","SHORT"))</f>
        <v/>
      </c>
      <c r="G20" s="15" t="n"/>
    </row>
    <row r="21">
      <c r="A21" t="n">
        <v>12537538</v>
      </c>
      <c r="B21">
        <f>VLOOKUP($A21,DATA!$I:$J,2,FALSE)</f>
        <v/>
      </c>
      <c r="C21" s="1">
        <f>SUMIFS(PRINT!$D:$D,PRINT!$B:$B,COMPARISON!A:A,PRINT!H:H,"TRUE")</f>
        <v/>
      </c>
      <c r="D21" s="1">
        <f>SUMIFS(DATA!$K:$K,DATA!$I:$I,COMPARISON!$A:$A)</f>
        <v/>
      </c>
      <c r="E21" s="1">
        <f>C21-D21+G21</f>
        <v/>
      </c>
      <c r="F21" s="1">
        <f>IF($E21=0,"-",IF($E21&gt;0,"OVER","SHORT"))</f>
        <v/>
      </c>
      <c r="G21" s="15" t="n"/>
    </row>
    <row r="22">
      <c r="A22" t="n">
        <v>12531524</v>
      </c>
      <c r="B22">
        <f>VLOOKUP($A22,DATA!$I:$J,2,FALSE)</f>
        <v/>
      </c>
      <c r="C22" s="1">
        <f>SUMIFS(PRINT!$D:$D,PRINT!$B:$B,COMPARISON!A:A,PRINT!H:H,"TRUE")</f>
        <v/>
      </c>
      <c r="D22" s="1">
        <f>SUMIFS(DATA!$K:$K,DATA!$I:$I,COMPARISON!$A:$A)</f>
        <v/>
      </c>
      <c r="E22" s="1">
        <f>C22-D22+G22</f>
        <v/>
      </c>
      <c r="F22" s="1">
        <f>IF($E22=0,"-",IF($E22&gt;0,"OVER","SHORT"))</f>
        <v/>
      </c>
      <c r="G22" s="15" t="n"/>
    </row>
    <row r="23">
      <c r="A23" t="n">
        <v>12536774</v>
      </c>
      <c r="B23">
        <f>VLOOKUP($A23,DATA!$I:$J,2,FALSE)</f>
        <v/>
      </c>
      <c r="C23" s="1">
        <f>SUMIFS(PRINT!$D:$D,PRINT!$B:$B,COMPARISON!A:A,PRINT!H:H,"TRUE")</f>
        <v/>
      </c>
      <c r="D23" s="1">
        <f>SUMIFS(DATA!$K:$K,DATA!$I:$I,COMPARISON!$A:$A)</f>
        <v/>
      </c>
      <c r="E23" s="1">
        <f>C23-D23+G23</f>
        <v/>
      </c>
      <c r="F23" s="1">
        <f>IF($E23=0,"-",IF($E23&gt;0,"OVER","SHORT"))</f>
        <v/>
      </c>
      <c r="G23" s="15" t="n"/>
    </row>
    <row r="24">
      <c r="A24" t="n">
        <v>12584775</v>
      </c>
      <c r="B24">
        <f>VLOOKUP($A24,DATA!$I:$J,2,FALSE)</f>
        <v/>
      </c>
      <c r="C24" s="1">
        <f>SUMIFS(PRINT!$D:$D,PRINT!$B:$B,COMPARISON!A:A,PRINT!H:H,"TRUE")</f>
        <v/>
      </c>
      <c r="D24" s="1">
        <f>SUMIFS(DATA!$K:$K,DATA!$I:$I,COMPARISON!$A:$A)</f>
        <v/>
      </c>
      <c r="E24" s="1">
        <f>C24-D24+G24</f>
        <v/>
      </c>
      <c r="F24" s="1">
        <f>IF($E24=0,"-",IF($E24&gt;0,"OVER","SHORT"))</f>
        <v/>
      </c>
      <c r="G24" s="15" t="n"/>
    </row>
    <row r="25">
      <c r="A25" t="n">
        <v>12530636</v>
      </c>
      <c r="B25">
        <f>VLOOKUP($A25,DATA!$I:$J,2,FALSE)</f>
        <v/>
      </c>
      <c r="C25" s="1">
        <f>SUMIFS(PRINT!$D:$D,PRINT!$B:$B,COMPARISON!A:A,PRINT!H:H,"TRUE")</f>
        <v/>
      </c>
      <c r="D25" s="1">
        <f>SUMIFS(DATA!$K:$K,DATA!$I:$I,COMPARISON!$A:$A)</f>
        <v/>
      </c>
      <c r="E25" s="1">
        <f>C25-D25+G25</f>
        <v/>
      </c>
      <c r="F25" s="1">
        <f>IF($E25=0,"-",IF($E25&gt;0,"OVER","SHORT"))</f>
        <v/>
      </c>
      <c r="G25" s="15" t="n"/>
    </row>
    <row r="26">
      <c r="A26" t="n">
        <v>12530637</v>
      </c>
      <c r="B26">
        <f>VLOOKUP($A26,DATA!$I:$J,2,FALSE)</f>
        <v/>
      </c>
      <c r="C26" s="1">
        <f>SUMIFS(PRINT!$D:$D,PRINT!$B:$B,COMPARISON!A:A,PRINT!H:H,"TRUE")</f>
        <v/>
      </c>
      <c r="D26" s="1">
        <f>SUMIFS(DATA!$K:$K,DATA!$I:$I,COMPARISON!$A:$A)</f>
        <v/>
      </c>
      <c r="E26" s="1">
        <f>C26-D26+G26</f>
        <v/>
      </c>
      <c r="F26" s="1">
        <f>IF($E26=0,"-",IF($E26&gt;0,"OVER","SHORT"))</f>
        <v/>
      </c>
      <c r="G26" s="15" t="n"/>
    </row>
    <row r="27">
      <c r="A27" t="n">
        <v>12470863</v>
      </c>
      <c r="B27">
        <f>VLOOKUP($A27,DATA!$I:$J,2,FALSE)</f>
        <v/>
      </c>
      <c r="C27" s="1">
        <f>SUMIFS(PRINT!$D:$D,PRINT!$B:$B,COMPARISON!A:A,PRINT!H:H,"TRUE")</f>
        <v/>
      </c>
      <c r="D27" s="1">
        <f>SUMIFS(DATA!$K:$K,DATA!$I:$I,COMPARISON!$A:$A)</f>
        <v/>
      </c>
      <c r="E27" s="1">
        <f>C27-D27+G27</f>
        <v/>
      </c>
      <c r="F27" s="1">
        <f>IF($E27=0,"-",IF($E27&gt;0,"OVER","SHORT"))</f>
        <v/>
      </c>
      <c r="G27" s="15" t="n"/>
    </row>
    <row r="28">
      <c r="A28" t="n">
        <v>12536784</v>
      </c>
      <c r="B28">
        <f>VLOOKUP($A28,DATA!$I:$J,2,FALSE)</f>
        <v/>
      </c>
      <c r="C28" s="1">
        <f>SUMIFS(PRINT!$D:$D,PRINT!$B:$B,COMPARISON!A:A,PRINT!H:H,"TRUE")</f>
        <v/>
      </c>
      <c r="D28" s="1">
        <f>SUMIFS(DATA!$K:$K,DATA!$I:$I,COMPARISON!$A:$A)</f>
        <v/>
      </c>
      <c r="E28" s="1">
        <f>C28-D28+G28</f>
        <v/>
      </c>
      <c r="F28" s="1">
        <f>IF($E28=0,"-",IF($E28&gt;0,"OVER","SHORT"))</f>
        <v/>
      </c>
      <c r="G28" s="15" t="n"/>
    </row>
    <row r="29">
      <c r="A29" t="n">
        <v>12584786</v>
      </c>
      <c r="B29">
        <f>VLOOKUP($A29,DATA!$I:$J,2,FALSE)</f>
        <v/>
      </c>
      <c r="C29" s="1">
        <f>SUMIFS(PRINT!$D:$D,PRINT!$B:$B,COMPARISON!A:A,PRINT!H:H,"TRUE")</f>
        <v/>
      </c>
      <c r="D29" s="1">
        <f>SUMIFS(DATA!$K:$K,DATA!$I:$I,COMPARISON!$A:$A)</f>
        <v/>
      </c>
      <c r="E29" s="1">
        <f>C29-D29+G29</f>
        <v/>
      </c>
      <c r="F29" s="1">
        <f>IF($E29=0,"-",IF($E29&gt;0,"OVER","SHORT"))</f>
        <v/>
      </c>
      <c r="G29" s="15" t="n"/>
    </row>
    <row r="30">
      <c r="A30" t="n">
        <v>12530648</v>
      </c>
      <c r="B30">
        <f>VLOOKUP($A30,DATA!$I:$J,2,FALSE)</f>
        <v/>
      </c>
      <c r="C30" s="1">
        <f>SUMIFS(PRINT!$D:$D,PRINT!$B:$B,COMPARISON!A:A,PRINT!H:H,"TRUE")</f>
        <v/>
      </c>
      <c r="D30" s="1">
        <f>SUMIFS(DATA!$K:$K,DATA!$I:$I,COMPARISON!$A:$A)</f>
        <v/>
      </c>
      <c r="E30" s="1">
        <f>C30-D30+G30</f>
        <v/>
      </c>
      <c r="F30" s="1">
        <f>IF($E30=0,"-",IF($E30&gt;0,"OVER","SHORT"))</f>
        <v/>
      </c>
      <c r="G30" s="15" t="n"/>
    </row>
    <row r="31">
      <c r="A31" t="n">
        <v>12587362</v>
      </c>
      <c r="B31">
        <f>VLOOKUP($A31,DATA!$I:$J,2,FALSE)</f>
        <v/>
      </c>
      <c r="C31" s="1">
        <f>SUMIFS(PRINT!$D:$D,PRINT!$B:$B,COMPARISON!A:A,PRINT!H:H,"TRUE")</f>
        <v/>
      </c>
      <c r="D31" s="1">
        <f>SUMIFS(DATA!$K:$K,DATA!$I:$I,COMPARISON!$A:$A)</f>
        <v/>
      </c>
      <c r="E31" s="1">
        <f>C31-D31+G31</f>
        <v/>
      </c>
      <c r="F31" s="1">
        <f>IF($E31=0,"-",IF($E31&gt;0,"OVER","SHORT"))</f>
        <v/>
      </c>
      <c r="G31" s="15" t="n"/>
    </row>
    <row r="32">
      <c r="A32" t="n">
        <v>12435172</v>
      </c>
      <c r="B32">
        <f>VLOOKUP($A32,DATA!$I:$J,2,FALSE)</f>
        <v/>
      </c>
      <c r="C32" s="1">
        <f>SUMIFS(PRINT!$D:$D,PRINT!$B:$B,COMPARISON!A:A,PRINT!H:H,"TRUE")</f>
        <v/>
      </c>
      <c r="D32" s="1">
        <f>SUMIFS(DATA!$K:$K,DATA!$I:$I,COMPARISON!$A:$A)</f>
        <v/>
      </c>
      <c r="E32" s="1">
        <f>C32-D32+G32</f>
        <v/>
      </c>
      <c r="F32" s="1">
        <f>IF($E32=0,"-",IF($E32&gt;0,"OVER","SHORT"))</f>
        <v/>
      </c>
      <c r="G32" s="15" t="n"/>
    </row>
    <row r="33">
      <c r="A33" t="n">
        <v>12530670</v>
      </c>
      <c r="B33">
        <f>VLOOKUP($A33,DATA!$I:$J,2,FALSE)</f>
        <v/>
      </c>
      <c r="C33" s="1">
        <f>SUMIFS(PRINT!$D:$D,PRINT!$B:$B,COMPARISON!A:A,PRINT!H:H,"TRUE")</f>
        <v/>
      </c>
      <c r="D33" s="1">
        <f>SUMIFS(DATA!$K:$K,DATA!$I:$I,COMPARISON!$A:$A)</f>
        <v/>
      </c>
      <c r="E33" s="1">
        <f>C33-D33+G33</f>
        <v/>
      </c>
      <c r="F33" s="1">
        <f>IF($E33=0,"-",IF($E33&gt;0,"OVER","SHORT"))</f>
        <v/>
      </c>
      <c r="G33" s="15" t="n"/>
    </row>
    <row r="34">
      <c r="A34" t="n">
        <v>12557556</v>
      </c>
      <c r="B34">
        <f>VLOOKUP($A34,DATA!$I:$J,2,FALSE)</f>
        <v/>
      </c>
      <c r="C34" s="1">
        <f>SUMIFS(PRINT!$D:$D,PRINT!$B:$B,COMPARISON!A:A,PRINT!H:H,"TRUE")</f>
        <v/>
      </c>
      <c r="D34" s="1">
        <f>SUMIFS(DATA!$K:$K,DATA!$I:$I,COMPARISON!$A:$A)</f>
        <v/>
      </c>
      <c r="E34" s="1">
        <f>C34-D34+G34</f>
        <v/>
      </c>
      <c r="F34" s="1">
        <f>IF($E34=0,"-",IF($E34&gt;0,"OVER","SHORT"))</f>
        <v/>
      </c>
      <c r="G34" s="15" t="n"/>
    </row>
    <row r="35">
      <c r="A35" t="n">
        <v>12508020</v>
      </c>
      <c r="B35">
        <f>VLOOKUP($A35,DATA!$I:$J,2,FALSE)</f>
        <v/>
      </c>
      <c r="C35" s="1">
        <f>SUMIFS(PRINT!$D:$D,PRINT!$B:$B,COMPARISON!A:A,PRINT!H:H,"TRUE")</f>
        <v/>
      </c>
      <c r="D35" s="1">
        <f>SUMIFS(DATA!$K:$K,DATA!$I:$I,COMPARISON!$A:$A)</f>
        <v/>
      </c>
      <c r="E35" s="1">
        <f>C35-D35+G35</f>
        <v/>
      </c>
      <c r="F35" s="1">
        <f>IF($E35=0,"-",IF($E35&gt;0,"OVER","SHORT"))</f>
        <v/>
      </c>
      <c r="G35" s="15" t="n"/>
    </row>
    <row r="36">
      <c r="A36" t="n">
        <v>12565366</v>
      </c>
      <c r="B36">
        <f>VLOOKUP($A36,DATA!$I:$J,2,FALSE)</f>
        <v/>
      </c>
      <c r="C36" s="1">
        <f>SUMIFS(PRINT!$D:$D,PRINT!$B:$B,COMPARISON!A:A,PRINT!H:H,"TRUE")</f>
        <v/>
      </c>
      <c r="D36" s="1">
        <f>SUMIFS(DATA!$K:$K,DATA!$I:$I,COMPARISON!$A:$A)</f>
        <v/>
      </c>
      <c r="E36" s="1">
        <f>C36-D36+G36</f>
        <v/>
      </c>
      <c r="F36" s="1">
        <f>IF($E36=0,"-",IF($E36&gt;0,"OVER","SHORT"))</f>
        <v/>
      </c>
      <c r="G36" s="15" t="n"/>
    </row>
    <row r="37">
      <c r="A37" t="n">
        <v>12536823</v>
      </c>
      <c r="B37">
        <f>VLOOKUP($A37,DATA!$I:$J,2,FALSE)</f>
        <v/>
      </c>
      <c r="C37" s="1">
        <f>SUMIFS(PRINT!$D:$D,PRINT!$B:$B,COMPARISON!A:A,PRINT!H:H,"TRUE")</f>
        <v/>
      </c>
      <c r="D37" s="1">
        <f>SUMIFS(DATA!$K:$K,DATA!$I:$I,COMPARISON!$A:$A)</f>
        <v/>
      </c>
      <c r="E37" s="1">
        <f>C37-D37+G37</f>
        <v/>
      </c>
      <c r="F37" s="1">
        <f>IF($E37=0,"-",IF($E37&gt;0,"OVER","SHORT"))</f>
        <v/>
      </c>
      <c r="G37" s="15" t="n"/>
    </row>
    <row r="38">
      <c r="A38" t="n">
        <v>12578169</v>
      </c>
      <c r="B38">
        <f>VLOOKUP($A38,DATA!$I:$J,2,FALSE)</f>
        <v/>
      </c>
      <c r="C38" s="1">
        <f>SUMIFS(PRINT!$D:$D,PRINT!$B:$B,COMPARISON!A:A,PRINT!H:H,"TRUE")</f>
        <v/>
      </c>
      <c r="D38" s="1">
        <f>SUMIFS(DATA!$K:$K,DATA!$I:$I,COMPARISON!$A:$A)</f>
        <v/>
      </c>
      <c r="E38" s="1">
        <f>C38-D38+G38</f>
        <v/>
      </c>
      <c r="F38" s="1">
        <f>IF($E38=0,"-",IF($E38&gt;0,"OVER","SHORT"))</f>
        <v/>
      </c>
      <c r="G38" s="15" t="n"/>
    </row>
    <row r="39">
      <c r="B39">
        <f>VLOOKUP($A39,DATA!$I:$J,2,FALSE)</f>
        <v/>
      </c>
      <c r="C39" s="1">
        <f>SUMIFS(PRINT!$D:$D,PRINT!$B:$B,COMPARISON!A:A,PRINT!H:H,"TRUE")</f>
        <v/>
      </c>
      <c r="D39" s="1">
        <f>SUMIFS(DATA!$K:$K,DATA!$I:$I,COMPARISON!$A:$A)</f>
        <v/>
      </c>
      <c r="E39" s="1">
        <f>C39-D39+G39</f>
        <v/>
      </c>
      <c r="F39" s="1">
        <f>IF($E39=0,"-",IF($E39&gt;0,"OVER","SHORT"))</f>
        <v/>
      </c>
      <c r="G39" s="15" t="n"/>
    </row>
    <row r="40">
      <c r="B40">
        <f>VLOOKUP($A40,DATA!$I:$J,2,FALSE)</f>
        <v/>
      </c>
      <c r="C40" s="1">
        <f>SUMIFS(PRINT!$D:$D,PRINT!$B:$B,COMPARISON!A:A,PRINT!H:H,"TRUE")</f>
        <v/>
      </c>
      <c r="D40" s="1">
        <f>SUMIFS(DATA!$K:$K,DATA!$I:$I,COMPARISON!$A:$A)</f>
        <v/>
      </c>
      <c r="E40" s="1">
        <f>C40-D40+G40</f>
        <v/>
      </c>
      <c r="F40" s="1">
        <f>IF($E40=0,"-",IF($E40&gt;0,"OVER","SHORT"))</f>
        <v/>
      </c>
      <c r="G40" s="15" t="n"/>
    </row>
    <row r="41">
      <c r="B41">
        <f>VLOOKUP($A41,DATA!$I:$J,2,FALSE)</f>
        <v/>
      </c>
      <c r="C41" s="1">
        <f>SUMIFS(PRINT!$D:$D,PRINT!$B:$B,COMPARISON!A:A,PRINT!H:H,"TRUE")</f>
        <v/>
      </c>
      <c r="D41" s="1">
        <f>SUMIFS(DATA!$K:$K,DATA!$I:$I,COMPARISON!$A:$A)</f>
        <v/>
      </c>
      <c r="E41" s="1">
        <f>C41-D41+G41</f>
        <v/>
      </c>
      <c r="F41" s="1">
        <f>IF($E41=0,"-",IF($E41&gt;0,"OVER","SHORT"))</f>
        <v/>
      </c>
      <c r="G41" s="15" t="n"/>
    </row>
    <row r="42">
      <c r="B42">
        <f>VLOOKUP($A42,DATA!$I:$J,2,FALSE)</f>
        <v/>
      </c>
      <c r="C42" s="1">
        <f>SUMIFS(PRINT!$D:$D,PRINT!$B:$B,COMPARISON!A:A,PRINT!H:H,"TRUE")</f>
        <v/>
      </c>
      <c r="D42" s="1">
        <f>SUMIFS(DATA!$K:$K,DATA!$I:$I,COMPARISON!$A:$A)</f>
        <v/>
      </c>
      <c r="E42" s="1">
        <f>C42-D42+G42</f>
        <v/>
      </c>
      <c r="F42" s="1">
        <f>IF($E42=0,"-",IF($E42&gt;0,"OVER","SHORT"))</f>
        <v/>
      </c>
      <c r="G42" s="15" t="n"/>
    </row>
    <row r="43">
      <c r="B43">
        <f>VLOOKUP($A43,DATA!$I:$J,2,FALSE)</f>
        <v/>
      </c>
      <c r="C43" s="1">
        <f>SUMIFS(PRINT!$D:$D,PRINT!$B:$B,COMPARISON!A:A,PRINT!H:H,"TRUE")</f>
        <v/>
      </c>
      <c r="D43" s="1">
        <f>SUMIFS(DATA!$K:$K,DATA!$I:$I,COMPARISON!$A:$A)</f>
        <v/>
      </c>
      <c r="E43" s="1">
        <f>C43-D43+G43</f>
        <v/>
      </c>
      <c r="F43" s="1">
        <f>IF($E43=0,"-",IF($E43&gt;0,"OVER","SHORT"))</f>
        <v/>
      </c>
      <c r="G43" s="15" t="n"/>
    </row>
    <row r="44">
      <c r="B44">
        <f>VLOOKUP($A44,DATA!$I:$J,2,FALSE)</f>
        <v/>
      </c>
      <c r="C44" s="1">
        <f>SUMIFS(PRINT!$D:$D,PRINT!$B:$B,COMPARISON!A:A,PRINT!H:H,"TRUE")</f>
        <v/>
      </c>
      <c r="D44" s="1">
        <f>SUMIFS(DATA!$K:$K,DATA!$I:$I,COMPARISON!$A:$A)</f>
        <v/>
      </c>
      <c r="E44" s="1">
        <f>C44-D44+G44</f>
        <v/>
      </c>
      <c r="F44" s="1">
        <f>IF($E44=0,"-",IF($E44&gt;0,"OVER","SHORT"))</f>
        <v/>
      </c>
      <c r="G44" s="15" t="n"/>
    </row>
    <row r="45">
      <c r="B45">
        <f>VLOOKUP($A45,DATA!$I:$J,2,FALSE)</f>
        <v/>
      </c>
      <c r="C45" s="1">
        <f>SUMIFS(PRINT!$D:$D,PRINT!$B:$B,COMPARISON!A:A,PRINT!H:H,"TRUE")</f>
        <v/>
      </c>
      <c r="D45" s="1">
        <f>SUMIFS(DATA!$K:$K,DATA!$I:$I,COMPARISON!$A:$A)</f>
        <v/>
      </c>
      <c r="E45" s="1">
        <f>C45-D45+G45</f>
        <v/>
      </c>
      <c r="F45" s="1">
        <f>IF($E45=0,"-",IF($E45&gt;0,"OVER","SHORT"))</f>
        <v/>
      </c>
      <c r="G45" s="15" t="n"/>
    </row>
    <row r="46">
      <c r="B46">
        <f>VLOOKUP($A46,DATA!$I:$J,2,FALSE)</f>
        <v/>
      </c>
      <c r="C46" s="1">
        <f>SUMIFS(PRINT!$D:$D,PRINT!$B:$B,COMPARISON!A:A,PRINT!H:H,"TRUE")</f>
        <v/>
      </c>
      <c r="D46" s="1">
        <f>SUMIFS(DATA!$K:$K,DATA!$I:$I,COMPARISON!$A:$A)</f>
        <v/>
      </c>
      <c r="E46" s="1">
        <f>C46-D46+G46</f>
        <v/>
      </c>
      <c r="F46" s="1">
        <f>IF($E46=0,"-",IF($E46&gt;0,"OVER","SHORT"))</f>
        <v/>
      </c>
      <c r="G46" s="15" t="n"/>
    </row>
    <row r="47">
      <c r="B47">
        <f>VLOOKUP($A47,DATA!$I:$J,2,FALSE)</f>
        <v/>
      </c>
      <c r="C47" s="1">
        <f>SUMIFS(PRINT!$D:$D,PRINT!$B:$B,COMPARISON!A:A,PRINT!H:H,"TRUE")</f>
        <v/>
      </c>
      <c r="D47" s="1">
        <f>SUMIFS(DATA!$K:$K,DATA!$I:$I,COMPARISON!$A:$A)</f>
        <v/>
      </c>
      <c r="E47" s="1">
        <f>C47-D47+G47</f>
        <v/>
      </c>
      <c r="F47" s="1">
        <f>IF($E47=0,"-",IF($E47&gt;0,"OVER","SHORT"))</f>
        <v/>
      </c>
      <c r="G47" s="15" t="n"/>
    </row>
    <row r="48">
      <c r="B48">
        <f>VLOOKUP($A48,DATA!$I:$J,2,FALSE)</f>
        <v/>
      </c>
      <c r="C48" s="1">
        <f>SUMIFS(PRINT!$D:$D,PRINT!$B:$B,COMPARISON!A:A,PRINT!H:H,"TRUE")</f>
        <v/>
      </c>
      <c r="D48" s="1">
        <f>SUMIFS(DATA!$K:$K,DATA!$I:$I,COMPARISON!$A:$A)</f>
        <v/>
      </c>
      <c r="E48" s="1">
        <f>C48-D48+G48</f>
        <v/>
      </c>
      <c r="F48" s="1">
        <f>IF($E48=0,"-",IF($E48&gt;0,"OVER","SHORT"))</f>
        <v/>
      </c>
      <c r="G48" s="15" t="n"/>
    </row>
    <row r="49">
      <c r="B49">
        <f>VLOOKUP($A49,DATA!$I:$J,2,FALSE)</f>
        <v/>
      </c>
      <c r="C49" s="1">
        <f>SUMIFS(PRINT!$D:$D,PRINT!$B:$B,COMPARISON!A:A,PRINT!H:H,"TRUE")</f>
        <v/>
      </c>
      <c r="D49" s="1">
        <f>SUMIFS(DATA!$K:$K,DATA!$I:$I,COMPARISON!$A:$A)</f>
        <v/>
      </c>
      <c r="E49" s="1">
        <f>C49-D49+G49</f>
        <v/>
      </c>
      <c r="F49" s="1">
        <f>IF($E49=0,"-",IF($E49&gt;0,"OVER","SHORT"))</f>
        <v/>
      </c>
      <c r="G49" s="15" t="n"/>
    </row>
    <row r="50">
      <c r="B50">
        <f>VLOOKUP($A50,DATA!$I:$J,2,FALSE)</f>
        <v/>
      </c>
      <c r="C50" s="1">
        <f>SUMIFS(PRINT!$D:$D,PRINT!$B:$B,COMPARISON!A:A,PRINT!H:H,"TRUE")</f>
        <v/>
      </c>
      <c r="D50" s="1">
        <f>SUMIFS(DATA!$K:$K,DATA!$I:$I,COMPARISON!$A:$A)</f>
        <v/>
      </c>
      <c r="E50" s="1">
        <f>C50-D50+G50</f>
        <v/>
      </c>
      <c r="F50" s="1">
        <f>IF($E50=0,"-",IF($E50&gt;0,"OVER","SHORT"))</f>
        <v/>
      </c>
      <c r="G50" s="15" t="n"/>
    </row>
    <row r="51">
      <c r="B51">
        <f>VLOOKUP($A51,DATA!$I:$J,2,FALSE)</f>
        <v/>
      </c>
      <c r="C51" s="1">
        <f>SUMIFS(PRINT!$D:$D,PRINT!$B:$B,COMPARISON!A:A,PRINT!H:H,"TRUE")</f>
        <v/>
      </c>
      <c r="D51" s="1">
        <f>SUMIFS(DATA!$K:$K,DATA!$I:$I,COMPARISON!$A:$A)</f>
        <v/>
      </c>
      <c r="E51" s="1">
        <f>C51-D51+G51</f>
        <v/>
      </c>
      <c r="F51" s="1">
        <f>IF($E51=0,"-",IF($E51&gt;0,"OVER","SHORT"))</f>
        <v/>
      </c>
      <c r="G51" s="15" t="n"/>
    </row>
    <row r="52">
      <c r="B52">
        <f>VLOOKUP($A52,DATA!$I:$J,2,FALSE)</f>
        <v/>
      </c>
      <c r="C52" s="1">
        <f>SUMIFS(PRINT!$D:$D,PRINT!$B:$B,COMPARISON!A:A,PRINT!H:H,"TRUE")</f>
        <v/>
      </c>
      <c r="D52" s="1">
        <f>SUMIFS(DATA!$K:$K,DATA!$I:$I,COMPARISON!$A:$A)</f>
        <v/>
      </c>
      <c r="E52" s="1">
        <f>C52-D52+G52</f>
        <v/>
      </c>
      <c r="F52" s="1">
        <f>IF($E52=0,"-",IF($E52&gt;0,"OVER","SHORT"))</f>
        <v/>
      </c>
      <c r="G52" s="15" t="n"/>
    </row>
    <row r="53">
      <c r="B53">
        <f>VLOOKUP($A53,DATA!$I:$J,2,FALSE)</f>
        <v/>
      </c>
      <c r="C53" s="1">
        <f>SUMIFS(PRINT!$D:$D,PRINT!$B:$B,COMPARISON!A:A,PRINT!H:H,"TRUE")</f>
        <v/>
      </c>
      <c r="D53" s="1">
        <f>SUMIFS(DATA!$K:$K,DATA!$I:$I,COMPARISON!$A:$A)</f>
        <v/>
      </c>
      <c r="E53" s="1">
        <f>C53-D53+G53</f>
        <v/>
      </c>
      <c r="F53" s="1">
        <f>IF($E53=0,"-",IF($E53&gt;0,"OVER","SHORT"))</f>
        <v/>
      </c>
      <c r="G53" s="15" t="n"/>
    </row>
    <row r="54">
      <c r="B54">
        <f>VLOOKUP($A54,DATA!$I:$J,2,FALSE)</f>
        <v/>
      </c>
      <c r="C54" s="1">
        <f>SUMIFS(PRINT!$D:$D,PRINT!$B:$B,COMPARISON!A:A,PRINT!H:H,"TRUE")</f>
        <v/>
      </c>
      <c r="D54" s="1">
        <f>SUMIFS(DATA!$K:$K,DATA!$I:$I,COMPARISON!$A:$A)</f>
        <v/>
      </c>
      <c r="E54" s="1">
        <f>C54-D54+G54</f>
        <v/>
      </c>
      <c r="F54" s="1">
        <f>IF($E54=0,"-",IF($E54&gt;0,"OVER","SHORT"))</f>
        <v/>
      </c>
      <c r="G54" s="15" t="n"/>
    </row>
    <row r="55">
      <c r="B55">
        <f>VLOOKUP($A55,DATA!$I:$J,2,FALSE)</f>
        <v/>
      </c>
      <c r="C55" s="1">
        <f>SUMIFS(PRINT!$D:$D,PRINT!$B:$B,COMPARISON!A:A,PRINT!H:H,"TRUE")</f>
        <v/>
      </c>
      <c r="D55" s="1">
        <f>SUMIFS(DATA!$K:$K,DATA!$I:$I,COMPARISON!$A:$A)</f>
        <v/>
      </c>
      <c r="E55" s="1">
        <f>C55-D55+G55</f>
        <v/>
      </c>
      <c r="F55" s="1">
        <f>IF($E55=0,"-",IF($E55&gt;0,"OVER","SHORT"))</f>
        <v/>
      </c>
      <c r="G55" s="15" t="n"/>
    </row>
    <row r="56">
      <c r="B56">
        <f>VLOOKUP($A56,DATA!$I:$J,2,FALSE)</f>
        <v/>
      </c>
      <c r="C56" s="1">
        <f>SUMIFS(PRINT!$D:$D,PRINT!$B:$B,COMPARISON!A:A,PRINT!H:H,"TRUE")</f>
        <v/>
      </c>
      <c r="D56" s="1">
        <f>SUMIFS(DATA!$K:$K,DATA!$I:$I,COMPARISON!$A:$A)</f>
        <v/>
      </c>
      <c r="E56" s="1">
        <f>C56-D56+G56</f>
        <v/>
      </c>
      <c r="F56" s="1">
        <f>IF($E56=0,"-",IF($E56&gt;0,"OVER","SHORT"))</f>
        <v/>
      </c>
      <c r="G56" s="15" t="n"/>
    </row>
    <row r="57">
      <c r="B57">
        <f>VLOOKUP($A57,DATA!$I:$J,2,FALSE)</f>
        <v/>
      </c>
      <c r="C57" s="1">
        <f>SUMIFS(PRINT!$D:$D,PRINT!$B:$B,COMPARISON!A:A,PRINT!H:H,"TRUE")</f>
        <v/>
      </c>
      <c r="D57" s="1">
        <f>SUMIFS(DATA!$K:$K,DATA!$I:$I,COMPARISON!$A:$A)</f>
        <v/>
      </c>
      <c r="E57" s="1">
        <f>C57-D57+G57</f>
        <v/>
      </c>
      <c r="F57" s="1">
        <f>IF($E57=0,"-",IF($E57&gt;0,"OVER","SHORT"))</f>
        <v/>
      </c>
      <c r="G57" s="15" t="n"/>
    </row>
    <row r="58">
      <c r="B58">
        <f>VLOOKUP($A58,DATA!$I:$J,2,FALSE)</f>
        <v/>
      </c>
      <c r="C58" s="1">
        <f>SUMIFS(PRINT!$D:$D,PRINT!$B:$B,COMPARISON!A:A,PRINT!H:H,"TRUE")</f>
        <v/>
      </c>
      <c r="D58" s="1">
        <f>SUMIFS(DATA!$K:$K,DATA!$I:$I,COMPARISON!$A:$A)</f>
        <v/>
      </c>
      <c r="E58" s="1">
        <f>C58-D58+G58</f>
        <v/>
      </c>
      <c r="F58" s="1">
        <f>IF($E58=0,"-",IF($E58&gt;0,"OVER","SHORT"))</f>
        <v/>
      </c>
      <c r="G58" s="15" t="n"/>
    </row>
    <row r="59">
      <c r="B59">
        <f>VLOOKUP($A59,DATA!$I:$J,2,FALSE)</f>
        <v/>
      </c>
      <c r="C59" s="1">
        <f>SUMIFS(PRINT!$D:$D,PRINT!$B:$B,COMPARISON!A:A,PRINT!H:H,"TRUE")</f>
        <v/>
      </c>
      <c r="D59" s="1">
        <f>SUMIFS(DATA!$K:$K,DATA!$I:$I,COMPARISON!$A:$A)</f>
        <v/>
      </c>
      <c r="E59" s="1">
        <f>C59-D59+G59</f>
        <v/>
      </c>
      <c r="F59" s="1">
        <f>IF($E59=0,"-",IF($E59&gt;0,"OVER","SHORT"))</f>
        <v/>
      </c>
      <c r="G59" s="15" t="n"/>
    </row>
    <row r="60">
      <c r="B60">
        <f>VLOOKUP($A60,DATA!$I:$J,2,FALSE)</f>
        <v/>
      </c>
      <c r="C60" s="1">
        <f>SUMIFS(PRINT!$D:$D,PRINT!$B:$B,COMPARISON!A:A,PRINT!H:H,"TRUE")</f>
        <v/>
      </c>
      <c r="D60" s="1">
        <f>SUMIFS(DATA!$K:$K,DATA!$I:$I,COMPARISON!$A:$A)</f>
        <v/>
      </c>
      <c r="E60" s="1">
        <f>C60-D60+G60</f>
        <v/>
      </c>
      <c r="F60" s="1">
        <f>IF($E60=0,"-",IF($E60&gt;0,"OVER","SHORT"))</f>
        <v/>
      </c>
      <c r="G60" s="15" t="n"/>
    </row>
    <row r="61">
      <c r="B61">
        <f>VLOOKUP($A61,DATA!$I:$J,2,FALSE)</f>
        <v/>
      </c>
      <c r="C61" s="1">
        <f>SUMIFS(PRINT!$D:$D,PRINT!$B:$B,COMPARISON!A:A,PRINT!H:H,"TRUE")</f>
        <v/>
      </c>
      <c r="D61" s="1">
        <f>SUMIFS(DATA!$K:$K,DATA!$I:$I,COMPARISON!$A:$A)</f>
        <v/>
      </c>
      <c r="E61" s="1">
        <f>C61-D61+G61</f>
        <v/>
      </c>
      <c r="F61" s="1">
        <f>IF($E61=0,"-",IF($E61&gt;0,"OVER","SHORT"))</f>
        <v/>
      </c>
      <c r="G61" s="15" t="n"/>
    </row>
    <row r="62">
      <c r="B62">
        <f>VLOOKUP($A62,DATA!$I:$J,2,FALSE)</f>
        <v/>
      </c>
      <c r="C62" s="1">
        <f>SUMIFS(PRINT!$D:$D,PRINT!$B:$B,COMPARISON!A:A,PRINT!H:H,"TRUE")</f>
        <v/>
      </c>
      <c r="D62" s="1">
        <f>SUMIFS(DATA!$K:$K,DATA!$I:$I,COMPARISON!$A:$A)</f>
        <v/>
      </c>
      <c r="E62" s="1">
        <f>C62-D62+G62</f>
        <v/>
      </c>
      <c r="F62" s="1">
        <f>IF($E62=0,"-",IF($E62&gt;0,"OVER","SHORT"))</f>
        <v/>
      </c>
      <c r="G62" s="15" t="n"/>
    </row>
    <row r="63">
      <c r="B63">
        <f>VLOOKUP($A63,DATA!$I:$J,2,FALSE)</f>
        <v/>
      </c>
      <c r="C63" s="1">
        <f>SUMIFS(PRINT!$D:$D,PRINT!$B:$B,COMPARISON!A:A,PRINT!H:H,"TRUE")</f>
        <v/>
      </c>
      <c r="D63" s="1">
        <f>SUMIFS(DATA!$K:$K,DATA!$I:$I,COMPARISON!$A:$A)</f>
        <v/>
      </c>
      <c r="E63" s="1">
        <f>C63-D63+G63</f>
        <v/>
      </c>
      <c r="F63" s="1">
        <f>IF($E63=0,"-",IF($E63&gt;0,"OVER","SHORT"))</f>
        <v/>
      </c>
      <c r="G63" s="15" t="n"/>
    </row>
    <row r="64">
      <c r="B64">
        <f>VLOOKUP($A64,DATA!$I:$J,2,FALSE)</f>
        <v/>
      </c>
      <c r="C64" s="1">
        <f>SUMIFS(PRINT!$D:$D,PRINT!$B:$B,COMPARISON!A:A,PRINT!H:H,"TRUE")</f>
        <v/>
      </c>
      <c r="D64" s="1">
        <f>SUMIFS(DATA!$K:$K,DATA!$I:$I,COMPARISON!$A:$A)</f>
        <v/>
      </c>
      <c r="E64" s="1">
        <f>C64-D64+G64</f>
        <v/>
      </c>
      <c r="F64" s="1">
        <f>IF($E64=0,"-",IF($E64&gt;0,"OVER","SHORT"))</f>
        <v/>
      </c>
      <c r="G64" s="15" t="n"/>
    </row>
    <row r="65">
      <c r="B65">
        <f>VLOOKUP($A65,DATA!$I:$J,2,FALSE)</f>
        <v/>
      </c>
      <c r="C65" s="1">
        <f>SUMIFS(PRINT!$D:$D,PRINT!$B:$B,COMPARISON!A:A,PRINT!H:H,"TRUE")</f>
        <v/>
      </c>
      <c r="D65" s="1">
        <f>SUMIFS(DATA!$K:$K,DATA!$I:$I,COMPARISON!$A:$A)</f>
        <v/>
      </c>
      <c r="E65" s="1">
        <f>C65-D65+G65</f>
        <v/>
      </c>
      <c r="F65" s="1">
        <f>IF($E65=0,"-",IF($E65&gt;0,"OVER","SHORT"))</f>
        <v/>
      </c>
      <c r="G65" s="15" t="n"/>
    </row>
    <row r="66">
      <c r="B66">
        <f>VLOOKUP($A66,DATA!$I:$J,2,FALSE)</f>
        <v/>
      </c>
      <c r="C66" s="1">
        <f>SUMIFS(PRINT!$D:$D,PRINT!$B:$B,COMPARISON!A:A,PRINT!H:H,"TRUE")</f>
        <v/>
      </c>
      <c r="D66" s="1">
        <f>SUMIFS(DATA!$K:$K,DATA!$I:$I,COMPARISON!$A:$A)</f>
        <v/>
      </c>
      <c r="E66" s="1">
        <f>C66-D66+G66</f>
        <v/>
      </c>
      <c r="F66" s="1">
        <f>IF($E66=0,"-",IF($E66&gt;0,"OVER","SHORT"))</f>
        <v/>
      </c>
      <c r="G66" s="15" t="n"/>
    </row>
    <row r="67">
      <c r="B67">
        <f>VLOOKUP($A67,DATA!$I:$J,2,FALSE)</f>
        <v/>
      </c>
      <c r="C67" s="1">
        <f>SUMIFS(PRINT!$D:$D,PRINT!$B:$B,COMPARISON!A:A,PRINT!H:H,"TRUE")</f>
        <v/>
      </c>
      <c r="D67" s="1">
        <f>SUMIFS(DATA!$K:$K,DATA!$I:$I,COMPARISON!$A:$A)</f>
        <v/>
      </c>
      <c r="E67" s="1">
        <f>C67-D67+G67</f>
        <v/>
      </c>
      <c r="F67" s="1">
        <f>IF($E67=0,"-",IF($E67&gt;0,"OVER","SHORT"))</f>
        <v/>
      </c>
      <c r="G67" s="15" t="n"/>
    </row>
    <row r="68">
      <c r="B68">
        <f>VLOOKUP($A68,DATA!$I:$J,2,FALSE)</f>
        <v/>
      </c>
      <c r="C68" s="1">
        <f>SUMIFS(PRINT!$D:$D,PRINT!$B:$B,COMPARISON!A:A,PRINT!H:H,"TRUE")</f>
        <v/>
      </c>
      <c r="D68" s="1">
        <f>SUMIFS(DATA!$K:$K,DATA!$I:$I,COMPARISON!$A:$A)</f>
        <v/>
      </c>
      <c r="E68" s="1">
        <f>C68-D68+G68</f>
        <v/>
      </c>
      <c r="F68" s="1">
        <f>IF($E68=0,"-",IF($E68&gt;0,"OVER","SHORT"))</f>
        <v/>
      </c>
      <c r="G68" s="15" t="n"/>
    </row>
    <row r="69">
      <c r="B69">
        <f>VLOOKUP($A69,DATA!$I:$J,2,FALSE)</f>
        <v/>
      </c>
      <c r="C69" s="1">
        <f>SUMIFS(PRINT!$D:$D,PRINT!$B:$B,COMPARISON!A:A,PRINT!H:H,"TRUE")</f>
        <v/>
      </c>
      <c r="D69" s="1">
        <f>SUMIFS(DATA!$K:$K,DATA!$I:$I,COMPARISON!$A:$A)</f>
        <v/>
      </c>
      <c r="E69" s="1">
        <f>C69-D69+G69</f>
        <v/>
      </c>
      <c r="F69" s="1">
        <f>IF($E69=0,"-",IF($E69&gt;0,"OVER","SHORT"))</f>
        <v/>
      </c>
      <c r="G69" s="15" t="n"/>
    </row>
    <row r="70">
      <c r="B70">
        <f>VLOOKUP($A70,DATA!$I:$J,2,FALSE)</f>
        <v/>
      </c>
      <c r="C70" s="1">
        <f>SUMIFS(PRINT!$D:$D,PRINT!$B:$B,COMPARISON!A:A,PRINT!H:H,"TRUE")</f>
        <v/>
      </c>
      <c r="D70" s="1">
        <f>SUMIFS(DATA!$K:$K,DATA!$I:$I,COMPARISON!$A:$A)</f>
        <v/>
      </c>
      <c r="E70" s="1">
        <f>C70-D70+G70</f>
        <v/>
      </c>
      <c r="F70" s="1">
        <f>IF($E70=0,"-",IF($E70&gt;0,"OVER","SHORT"))</f>
        <v/>
      </c>
      <c r="G70" s="15" t="n"/>
    </row>
    <row r="71">
      <c r="B71">
        <f>VLOOKUP($A71,DATA!$I:$J,2,FALSE)</f>
        <v/>
      </c>
      <c r="C71" s="1">
        <f>SUMIFS(PRINT!$D:$D,PRINT!$B:$B,COMPARISON!A:A,PRINT!H:H,"TRUE")</f>
        <v/>
      </c>
      <c r="D71" s="1">
        <f>SUMIFS(DATA!$K:$K,DATA!$I:$I,COMPARISON!$A:$A)</f>
        <v/>
      </c>
      <c r="E71" s="1">
        <f>C71-D71+G71</f>
        <v/>
      </c>
      <c r="F71" s="1">
        <f>IF($E71=0,"-",IF($E71&gt;0,"OVER","SHORT"))</f>
        <v/>
      </c>
      <c r="G71" s="15" t="n"/>
    </row>
    <row r="72">
      <c r="B72">
        <f>VLOOKUP($A72,DATA!$I:$J,2,FALSE)</f>
        <v/>
      </c>
      <c r="C72" s="1">
        <f>SUMIFS(PRINT!$D:$D,PRINT!$B:$B,COMPARISON!A:A,PRINT!H:H,"TRUE")</f>
        <v/>
      </c>
      <c r="D72" s="1">
        <f>SUMIFS(DATA!$K:$K,DATA!$I:$I,COMPARISON!$A:$A)</f>
        <v/>
      </c>
      <c r="E72" s="1">
        <f>C72-D72+G72</f>
        <v/>
      </c>
      <c r="F72" s="1">
        <f>IF($E72=0,"-",IF($E72&gt;0,"OVER","SHORT"))</f>
        <v/>
      </c>
      <c r="G72" s="15" t="n"/>
    </row>
    <row r="73">
      <c r="B73">
        <f>VLOOKUP($A73,DATA!$I:$J,2,FALSE)</f>
        <v/>
      </c>
      <c r="C73" s="1">
        <f>SUMIFS(PRINT!$D:$D,PRINT!$B:$B,COMPARISON!A:A,PRINT!H:H,"TRUE")</f>
        <v/>
      </c>
      <c r="D73" s="1">
        <f>SUMIFS(DATA!$K:$K,DATA!$I:$I,COMPARISON!$A:$A)</f>
        <v/>
      </c>
      <c r="E73" s="1">
        <f>C73-D73+G73</f>
        <v/>
      </c>
      <c r="F73" s="1">
        <f>IF($E73=0,"-",IF($E73&gt;0,"OVER","SHORT"))</f>
        <v/>
      </c>
      <c r="G73" s="15" t="n"/>
    </row>
    <row r="74">
      <c r="B74">
        <f>VLOOKUP($A74,DATA!$I:$J,2,FALSE)</f>
        <v/>
      </c>
      <c r="C74" s="1">
        <f>SUMIFS(PRINT!$D:$D,PRINT!$B:$B,COMPARISON!A:A,PRINT!H:H,"TRUE")</f>
        <v/>
      </c>
      <c r="D74" s="1">
        <f>SUMIFS(DATA!$K:$K,DATA!$I:$I,COMPARISON!$A:$A)</f>
        <v/>
      </c>
      <c r="E74" s="1">
        <f>C74-D74+G74</f>
        <v/>
      </c>
      <c r="F74" s="1">
        <f>IF($E74=0,"-",IF($E74&gt;0,"OVER","SHORT"))</f>
        <v/>
      </c>
      <c r="G74" s="15" t="n"/>
    </row>
    <row r="75">
      <c r="B75">
        <f>VLOOKUP($A75,DATA!$I:$J,2,FALSE)</f>
        <v/>
      </c>
      <c r="C75" s="1">
        <f>SUMIFS(PRINT!$D:$D,PRINT!$B:$B,COMPARISON!A:A,PRINT!H:H,"TRUE")</f>
        <v/>
      </c>
      <c r="D75" s="1">
        <f>SUMIFS(DATA!$K:$K,DATA!$I:$I,COMPARISON!$A:$A)</f>
        <v/>
      </c>
      <c r="E75" s="1">
        <f>C75-D75+G75</f>
        <v/>
      </c>
      <c r="F75" s="1">
        <f>IF($E75=0,"-",IF($E75&gt;0,"OVER","SHORT"))</f>
        <v/>
      </c>
      <c r="G75" s="15" t="n"/>
    </row>
    <row r="76">
      <c r="B76">
        <f>VLOOKUP($A76,DATA!$I:$J,2,FALSE)</f>
        <v/>
      </c>
      <c r="C76" s="1">
        <f>SUMIFS(PRINT!$D:$D,PRINT!$B:$B,COMPARISON!A:A,PRINT!H:H,"TRUE")</f>
        <v/>
      </c>
      <c r="D76" s="1">
        <f>SUMIFS(DATA!$K:$K,DATA!$I:$I,COMPARISON!$A:$A)</f>
        <v/>
      </c>
      <c r="E76" s="1">
        <f>C76-D76+G76</f>
        <v/>
      </c>
      <c r="F76" s="1">
        <f>IF($E76=0,"-",IF($E76&gt;0,"OVER","SHORT"))</f>
        <v/>
      </c>
      <c r="G76" s="15" t="n"/>
    </row>
    <row r="77">
      <c r="B77">
        <f>VLOOKUP($A77,DATA!$I:$J,2,FALSE)</f>
        <v/>
      </c>
      <c r="C77" s="1">
        <f>SUMIFS(PRINT!$D:$D,PRINT!$B:$B,COMPARISON!A:A,PRINT!H:H,"TRUE")</f>
        <v/>
      </c>
      <c r="D77" s="1">
        <f>SUMIFS(DATA!$K:$K,DATA!$I:$I,COMPARISON!$A:$A)</f>
        <v/>
      </c>
      <c r="E77" s="1">
        <f>C77-D77+G77</f>
        <v/>
      </c>
      <c r="F77" s="1">
        <f>IF($E77=0,"-",IF($E77&gt;0,"OVER","SHORT"))</f>
        <v/>
      </c>
      <c r="G77" s="15" t="n"/>
    </row>
    <row r="78">
      <c r="B78">
        <f>VLOOKUP($A78,DATA!$I:$J,2,FALSE)</f>
        <v/>
      </c>
      <c r="C78" s="1">
        <f>SUMIFS(PRINT!$D:$D,PRINT!$B:$B,COMPARISON!A:A,PRINT!H:H,"TRUE")</f>
        <v/>
      </c>
      <c r="D78" s="1">
        <f>SUMIFS(DATA!$K:$K,DATA!$I:$I,COMPARISON!$A:$A)</f>
        <v/>
      </c>
      <c r="E78" s="1">
        <f>C78-D78+G78</f>
        <v/>
      </c>
      <c r="F78" s="1">
        <f>IF($E78=0,"-",IF($E78&gt;0,"OVER","SHORT"))</f>
        <v/>
      </c>
      <c r="G78" s="15" t="n"/>
    </row>
    <row r="79">
      <c r="B79">
        <f>VLOOKUP($A79,DATA!$I:$J,2,FALSE)</f>
        <v/>
      </c>
      <c r="C79" s="1">
        <f>SUMIFS(PRINT!$D:$D,PRINT!$B:$B,COMPARISON!A:A,PRINT!H:H,"TRUE")</f>
        <v/>
      </c>
      <c r="D79" s="1">
        <f>SUMIFS(DATA!$K:$K,DATA!$I:$I,COMPARISON!$A:$A)</f>
        <v/>
      </c>
      <c r="E79" s="1">
        <f>C79-D79+G79</f>
        <v/>
      </c>
      <c r="F79" s="1">
        <f>IF($E79=0,"-",IF($E79&gt;0,"OVER","SHORT"))</f>
        <v/>
      </c>
      <c r="G79" s="15" t="n"/>
    </row>
    <row r="80">
      <c r="B80">
        <f>VLOOKUP($A80,DATA!$I:$J,2,FALSE)</f>
        <v/>
      </c>
      <c r="C80" s="1">
        <f>SUMIFS(PRINT!$D:$D,PRINT!$B:$B,COMPARISON!A:A,PRINT!H:H,"TRUE")</f>
        <v/>
      </c>
      <c r="D80" s="1">
        <f>SUMIFS(DATA!$K:$K,DATA!$I:$I,COMPARISON!$A:$A)</f>
        <v/>
      </c>
      <c r="E80" s="1">
        <f>C80-D80+G80</f>
        <v/>
      </c>
      <c r="F80" s="1">
        <f>IF($E80=0,"-",IF($E80&gt;0,"OVER","SHORT"))</f>
        <v/>
      </c>
      <c r="G80" s="15" t="n"/>
    </row>
    <row r="81">
      <c r="B81">
        <f>VLOOKUP($A81,DATA!$I:$J,2,FALSE)</f>
        <v/>
      </c>
      <c r="C81" s="1">
        <f>SUMIFS(PRINT!$D:$D,PRINT!$B:$B,COMPARISON!A:A,PRINT!H:H,"TRUE")</f>
        <v/>
      </c>
      <c r="D81" s="1">
        <f>SUMIFS(DATA!$K:$K,DATA!$I:$I,COMPARISON!$A:$A)</f>
        <v/>
      </c>
      <c r="E81" s="1">
        <f>C81-D81+G81</f>
        <v/>
      </c>
      <c r="F81" s="1">
        <f>IF($E81=0,"-",IF($E81&gt;0,"OVER","SHORT"))</f>
        <v/>
      </c>
      <c r="G81" s="15" t="n"/>
    </row>
    <row r="82">
      <c r="B82">
        <f>VLOOKUP($A82,DATA!$I:$J,2,FALSE)</f>
        <v/>
      </c>
      <c r="C82" s="1">
        <f>SUMIFS(PRINT!$D:$D,PRINT!$B:$B,COMPARISON!A:A,PRINT!H:H,"TRUE")</f>
        <v/>
      </c>
      <c r="D82" s="1">
        <f>SUMIFS(DATA!$K:$K,DATA!$I:$I,COMPARISON!$A:$A)</f>
        <v/>
      </c>
      <c r="E82" s="1">
        <f>C82-D82+G82</f>
        <v/>
      </c>
      <c r="F82" s="1">
        <f>IF($E82=0,"-",IF($E82&gt;0,"OVER","SHORT"))</f>
        <v/>
      </c>
      <c r="G82" s="15" t="n"/>
    </row>
    <row r="83">
      <c r="B83">
        <f>VLOOKUP($A83,DATA!$I:$J,2,FALSE)</f>
        <v/>
      </c>
      <c r="C83" s="1">
        <f>SUMIFS(PRINT!$D:$D,PRINT!$B:$B,COMPARISON!A:A,PRINT!H:H,"TRUE")</f>
        <v/>
      </c>
      <c r="D83" s="1">
        <f>SUMIFS(DATA!$K:$K,DATA!$I:$I,COMPARISON!$A:$A)</f>
        <v/>
      </c>
      <c r="E83" s="1">
        <f>C83-D83+G83</f>
        <v/>
      </c>
      <c r="F83" s="1">
        <f>IF($E83=0,"-",IF($E83&gt;0,"OVER","SHORT"))</f>
        <v/>
      </c>
      <c r="G83" s="15" t="n"/>
    </row>
    <row r="84">
      <c r="B84">
        <f>VLOOKUP($A84,DATA!$I:$J,2,FALSE)</f>
        <v/>
      </c>
      <c r="C84" s="1">
        <f>SUMIFS(PRINT!$D:$D,PRINT!$B:$B,COMPARISON!A:A,PRINT!H:H,"TRUE")</f>
        <v/>
      </c>
      <c r="D84" s="1">
        <f>SUMIFS(DATA!$K:$K,DATA!$I:$I,COMPARISON!$A:$A)</f>
        <v/>
      </c>
      <c r="E84" s="1">
        <f>C84-D84+G84</f>
        <v/>
      </c>
      <c r="F84" s="1">
        <f>IF($E84=0,"-",IF($E84&gt;0,"OVER","SHORT"))</f>
        <v/>
      </c>
      <c r="G84" s="15" t="n"/>
    </row>
    <row r="85">
      <c r="B85">
        <f>VLOOKUP($A85,DATA!$I:$J,2,FALSE)</f>
        <v/>
      </c>
      <c r="C85" s="1">
        <f>SUMIFS(PRINT!$D:$D,PRINT!$B:$B,COMPARISON!A:A,PRINT!H:H,"TRUE")</f>
        <v/>
      </c>
      <c r="D85" s="1">
        <f>SUMIFS(DATA!$K:$K,DATA!$I:$I,COMPARISON!$A:$A)</f>
        <v/>
      </c>
      <c r="E85" s="1">
        <f>C85-D85+G85</f>
        <v/>
      </c>
      <c r="F85" s="1">
        <f>IF($E85=0,"-",IF($E85&gt;0,"OVER","SHORT"))</f>
        <v/>
      </c>
      <c r="G85" s="15" t="n"/>
    </row>
    <row r="86">
      <c r="B86">
        <f>VLOOKUP($A86,DATA!$I:$J,2,FALSE)</f>
        <v/>
      </c>
      <c r="C86" s="1">
        <f>SUMIFS(PRINT!$D:$D,PRINT!$B:$B,COMPARISON!A:A,PRINT!H:H,"TRUE")</f>
        <v/>
      </c>
      <c r="D86" s="1">
        <f>SUMIFS(DATA!$K:$K,DATA!$I:$I,COMPARISON!$A:$A)</f>
        <v/>
      </c>
      <c r="E86" s="1">
        <f>C86-D86+G86</f>
        <v/>
      </c>
      <c r="F86" s="1">
        <f>IF($E86=0,"-",IF($E86&gt;0,"OVER","SHORT"))</f>
        <v/>
      </c>
      <c r="G86" s="15" t="n"/>
    </row>
    <row r="87">
      <c r="B87">
        <f>VLOOKUP($A87,DATA!$I:$J,2,FALSE)</f>
        <v/>
      </c>
      <c r="C87" s="1">
        <f>SUMIFS(PRINT!$D:$D,PRINT!$B:$B,COMPARISON!A:A,PRINT!H:H,"TRUE")</f>
        <v/>
      </c>
      <c r="D87" s="1">
        <f>SUMIFS(DATA!$K:$K,DATA!$I:$I,COMPARISON!$A:$A)</f>
        <v/>
      </c>
      <c r="E87" s="1">
        <f>C87-D87+G87</f>
        <v/>
      </c>
      <c r="F87" s="1">
        <f>IF($E87=0,"-",IF($E87&gt;0,"OVER","SHORT"))</f>
        <v/>
      </c>
      <c r="G87" s="15" t="n"/>
    </row>
    <row r="88">
      <c r="B88">
        <f>VLOOKUP($A88,DATA!$I:$J,2,FALSE)</f>
        <v/>
      </c>
      <c r="C88" s="1">
        <f>SUMIFS(PRINT!$D:$D,PRINT!$B:$B,COMPARISON!A:A,PRINT!H:H,"TRUE")</f>
        <v/>
      </c>
      <c r="D88" s="1">
        <f>SUMIFS(DATA!$K:$K,DATA!$I:$I,COMPARISON!$A:$A)</f>
        <v/>
      </c>
      <c r="E88" s="1">
        <f>C88-D88+G88</f>
        <v/>
      </c>
      <c r="F88" s="1">
        <f>IF($E88=0,"-",IF($E88&gt;0,"OVER","SHORT"))</f>
        <v/>
      </c>
      <c r="G88" s="15" t="n"/>
    </row>
    <row r="89">
      <c r="B89">
        <f>VLOOKUP($A89,DATA!$I:$J,2,FALSE)</f>
        <v/>
      </c>
      <c r="C89" s="1">
        <f>SUMIFS(PRINT!$D:$D,PRINT!$B:$B,COMPARISON!A:A,PRINT!H:H,"TRUE")</f>
        <v/>
      </c>
      <c r="D89" s="1">
        <f>SUMIFS(DATA!$K:$K,DATA!$I:$I,COMPARISON!$A:$A)</f>
        <v/>
      </c>
      <c r="E89" s="1">
        <f>C89-D89+G89</f>
        <v/>
      </c>
      <c r="F89" s="1">
        <f>IF($E89=0,"-",IF($E89&gt;0,"OVER","SHORT"))</f>
        <v/>
      </c>
      <c r="G89" s="15" t="n"/>
    </row>
    <row r="90">
      <c r="B90">
        <f>VLOOKUP($A90,DATA!$I:$J,2,FALSE)</f>
        <v/>
      </c>
      <c r="C90" s="1">
        <f>SUMIFS(PRINT!$D:$D,PRINT!$B:$B,COMPARISON!A:A,PRINT!H:H,"TRUE")</f>
        <v/>
      </c>
      <c r="D90" s="1">
        <f>SUMIFS(DATA!$K:$K,DATA!$I:$I,COMPARISON!$A:$A)</f>
        <v/>
      </c>
      <c r="E90" s="1">
        <f>C90-D90+G90</f>
        <v/>
      </c>
      <c r="F90" s="1">
        <f>IF($E90=0,"-",IF($E90&gt;0,"OVER","SHORT"))</f>
        <v/>
      </c>
      <c r="G90" s="15" t="n"/>
    </row>
    <row r="91">
      <c r="B91">
        <f>VLOOKUP($A91,DATA!$I:$J,2,FALSE)</f>
        <v/>
      </c>
      <c r="C91" s="1">
        <f>SUMIFS(PRINT!$D:$D,PRINT!$B:$B,COMPARISON!A:A,PRINT!H:H,"TRUE")</f>
        <v/>
      </c>
      <c r="D91" s="1">
        <f>SUMIFS(DATA!$K:$K,DATA!$I:$I,COMPARISON!$A:$A)</f>
        <v/>
      </c>
      <c r="E91" s="1">
        <f>C91-D91+G91</f>
        <v/>
      </c>
      <c r="F91" s="1">
        <f>IF($E91=0,"-",IF($E91&gt;0,"OVER","SHORT"))</f>
        <v/>
      </c>
      <c r="G91" s="15" t="n"/>
    </row>
    <row r="92">
      <c r="B92">
        <f>VLOOKUP($A92,DATA!$I:$J,2,FALSE)</f>
        <v/>
      </c>
      <c r="C92" s="1">
        <f>SUMIFS(PRINT!$D:$D,PRINT!$B:$B,COMPARISON!A:A,PRINT!H:H,"TRUE")</f>
        <v/>
      </c>
      <c r="D92" s="1">
        <f>SUMIFS(DATA!$K:$K,DATA!$I:$I,COMPARISON!$A:$A)</f>
        <v/>
      </c>
      <c r="E92" s="1">
        <f>C92-D92+G92</f>
        <v/>
      </c>
      <c r="F92" s="1">
        <f>IF($E92=0,"-",IF($E92&gt;0,"OVER","SHORT"))</f>
        <v/>
      </c>
      <c r="G92" s="15" t="n"/>
    </row>
    <row r="93">
      <c r="B93">
        <f>VLOOKUP($A93,DATA!$I:$J,2,FALSE)</f>
        <v/>
      </c>
      <c r="C93" s="1">
        <f>SUMIFS(PRINT!$D:$D,PRINT!$B:$B,COMPARISON!A:A,PRINT!H:H,"TRUE")</f>
        <v/>
      </c>
      <c r="D93" s="1">
        <f>SUMIFS(DATA!$K:$K,DATA!$I:$I,COMPARISON!$A:$A)</f>
        <v/>
      </c>
      <c r="E93" s="1">
        <f>C93-D93+G93</f>
        <v/>
      </c>
      <c r="F93" s="1">
        <f>IF($E93=0,"-",IF($E93&gt;0,"OVER","SHORT"))</f>
        <v/>
      </c>
      <c r="G93" s="15" t="n"/>
    </row>
    <row r="94">
      <c r="B94">
        <f>VLOOKUP($A94,DATA!$I:$J,2,FALSE)</f>
        <v/>
      </c>
      <c r="C94" s="1">
        <f>SUMIFS(PRINT!$D:$D,PRINT!$B:$B,COMPARISON!A:A,PRINT!H:H,"TRUE")</f>
        <v/>
      </c>
      <c r="D94" s="1">
        <f>SUMIFS(DATA!$K:$K,DATA!$I:$I,COMPARISON!$A:$A)</f>
        <v/>
      </c>
      <c r="E94" s="1">
        <f>C94-D94+G94</f>
        <v/>
      </c>
      <c r="F94" s="1">
        <f>IF($E94=0,"-",IF($E94&gt;0,"OVER","SHORT"))</f>
        <v/>
      </c>
      <c r="G94" s="15" t="n"/>
    </row>
    <row r="95">
      <c r="B95">
        <f>VLOOKUP($A95,DATA!$I:$J,2,FALSE)</f>
        <v/>
      </c>
      <c r="C95" s="1">
        <f>SUMIFS(PRINT!$D:$D,PRINT!$B:$B,COMPARISON!A:A,PRINT!H:H,"TRUE")</f>
        <v/>
      </c>
      <c r="D95" s="1">
        <f>SUMIFS(DATA!$K:$K,DATA!$I:$I,COMPARISON!$A:$A)</f>
        <v/>
      </c>
      <c r="E95" s="1">
        <f>C95-D95+G95</f>
        <v/>
      </c>
      <c r="F95" s="1">
        <f>IF($E95=0,"-",IF($E95&gt;0,"OVER","SHORT"))</f>
        <v/>
      </c>
      <c r="G95" s="15" t="n"/>
    </row>
    <row r="96">
      <c r="B96">
        <f>VLOOKUP($A96,DATA!$I:$J,2,FALSE)</f>
        <v/>
      </c>
      <c r="C96" s="1">
        <f>SUMIFS(PRINT!$D:$D,PRINT!$B:$B,COMPARISON!A:A,PRINT!H:H,"TRUE")</f>
        <v/>
      </c>
      <c r="D96" s="1">
        <f>SUMIFS(DATA!$K:$K,DATA!$I:$I,COMPARISON!$A:$A)</f>
        <v/>
      </c>
      <c r="E96" s="1">
        <f>C96-D96+G96</f>
        <v/>
      </c>
      <c r="F96" s="1">
        <f>IF($E96=0,"-",IF($E96&gt;0,"OVER","SHORT"))</f>
        <v/>
      </c>
      <c r="G96" s="15" t="n"/>
    </row>
    <row r="97">
      <c r="B97">
        <f>VLOOKUP($A97,DATA!$I:$J,2,FALSE)</f>
        <v/>
      </c>
      <c r="C97" s="1">
        <f>SUMIFS(PRINT!$D:$D,PRINT!$B:$B,COMPARISON!A:A,PRINT!H:H,"TRUE")</f>
        <v/>
      </c>
      <c r="D97" s="1">
        <f>SUMIFS(DATA!$K:$K,DATA!$I:$I,COMPARISON!$A:$A)</f>
        <v/>
      </c>
      <c r="E97" s="1">
        <f>C97-D97+G97</f>
        <v/>
      </c>
      <c r="F97" s="1">
        <f>IF($E97=0,"-",IF($E97&gt;0,"OVER","SHORT"))</f>
        <v/>
      </c>
      <c r="G97" s="15" t="n"/>
    </row>
    <row r="98">
      <c r="B98">
        <f>VLOOKUP($A98,DATA!$I:$J,2,FALSE)</f>
        <v/>
      </c>
      <c r="C98" s="1">
        <f>SUMIFS(PRINT!$D:$D,PRINT!$B:$B,COMPARISON!A:A,PRINT!H:H,"TRUE")</f>
        <v/>
      </c>
      <c r="D98" s="1">
        <f>SUMIFS(DATA!$K:$K,DATA!$I:$I,COMPARISON!$A:$A)</f>
        <v/>
      </c>
      <c r="E98" s="1">
        <f>C98-D98+G98</f>
        <v/>
      </c>
      <c r="F98" s="1">
        <f>IF($E98=0,"-",IF($E98&gt;0,"OVER","SHORT"))</f>
        <v/>
      </c>
      <c r="G98" s="15" t="n"/>
    </row>
    <row r="99">
      <c r="B99">
        <f>VLOOKUP($A99,DATA!$I:$J,2,FALSE)</f>
        <v/>
      </c>
      <c r="C99" s="1">
        <f>SUMIFS(PRINT!$D:$D,PRINT!$B:$B,COMPARISON!A:A,PRINT!H:H,"TRUE")</f>
        <v/>
      </c>
      <c r="D99" s="1">
        <f>SUMIFS(DATA!$K:$K,DATA!$I:$I,COMPARISON!$A:$A)</f>
        <v/>
      </c>
      <c r="E99" s="1">
        <f>C99-D99+G99</f>
        <v/>
      </c>
      <c r="F99" s="1">
        <f>IF($E99=0,"-",IF($E99&gt;0,"OVER","SHORT"))</f>
        <v/>
      </c>
      <c r="G99" s="15" t="n"/>
    </row>
    <row r="100">
      <c r="B100">
        <f>VLOOKUP($A100,DATA!$I:$J,2,FALSE)</f>
        <v/>
      </c>
      <c r="C100" s="1">
        <f>SUMIFS(PRINT!$D:$D,PRINT!$B:$B,COMPARISON!A:A,PRINT!H:H,"TRUE")</f>
        <v/>
      </c>
      <c r="D100" s="1">
        <f>SUMIFS(DATA!$K:$K,DATA!$I:$I,COMPARISON!$A:$A)</f>
        <v/>
      </c>
      <c r="E100" s="1">
        <f>C100-D100+G100</f>
        <v/>
      </c>
      <c r="F100" s="1">
        <f>IF($E100=0,"-",IF($E100&gt;0,"OVER","SHORT"))</f>
        <v/>
      </c>
      <c r="G100" s="15" t="n"/>
    </row>
    <row r="101">
      <c r="B101">
        <f>VLOOKUP($A101,DATA!$I:$J,2,FALSE)</f>
        <v/>
      </c>
      <c r="C101" s="1">
        <f>SUMIFS(PRINT!$D:$D,PRINT!$B:$B,COMPARISON!A:A,PRINT!H:H,"TRUE")</f>
        <v/>
      </c>
      <c r="D101" s="1">
        <f>SUMIFS(DATA!$K:$K,DATA!$I:$I,COMPARISON!$A:$A)</f>
        <v/>
      </c>
      <c r="E101" s="1">
        <f>C101-D101+G101</f>
        <v/>
      </c>
      <c r="F101" s="1">
        <f>IF($E101=0,"-",IF($E101&gt;0,"OVER","SHORT"))</f>
        <v/>
      </c>
      <c r="G101" s="15" t="n"/>
    </row>
    <row r="102">
      <c r="B102">
        <f>VLOOKUP($A102,DATA!$I:$J,2,FALSE)</f>
        <v/>
      </c>
      <c r="C102" s="1">
        <f>SUMIFS(PRINT!$D:$D,PRINT!$B:$B,COMPARISON!A:A,PRINT!H:H,"TRUE")</f>
        <v/>
      </c>
      <c r="D102" s="1">
        <f>SUMIFS(DATA!$K:$K,DATA!$I:$I,COMPARISON!$A:$A)</f>
        <v/>
      </c>
      <c r="E102" s="1">
        <f>C102-D102+G102</f>
        <v/>
      </c>
      <c r="F102" s="1">
        <f>IF($E102=0,"-",IF($E102&gt;0,"OVER","SHORT"))</f>
        <v/>
      </c>
      <c r="G102" s="15" t="n"/>
    </row>
    <row r="103">
      <c r="B103">
        <f>VLOOKUP($A103,DATA!$I:$J,2,FALSE)</f>
        <v/>
      </c>
      <c r="C103" s="1">
        <f>SUMIFS(PRINT!$D:$D,PRINT!$B:$B,COMPARISON!A:A,PRINT!H:H,"TRUE")</f>
        <v/>
      </c>
      <c r="D103" s="1">
        <f>SUMIFS(DATA!$K:$K,DATA!$I:$I,COMPARISON!$A:$A)</f>
        <v/>
      </c>
      <c r="E103" s="1">
        <f>C103-D103+G103</f>
        <v/>
      </c>
      <c r="F103" s="1">
        <f>IF($E103=0,"-",IF($E103&gt;0,"OVER","SHORT"))</f>
        <v/>
      </c>
      <c r="G103" s="15" t="n"/>
    </row>
    <row r="104">
      <c r="B104">
        <f>VLOOKUP($A104,DATA!$I:$J,2,FALSE)</f>
        <v/>
      </c>
      <c r="C104" s="1">
        <f>SUMIFS(PRINT!$D:$D,PRINT!$B:$B,COMPARISON!A:A,PRINT!H:H,"TRUE")</f>
        <v/>
      </c>
      <c r="D104" s="1">
        <f>SUMIFS(DATA!$K:$K,DATA!$I:$I,COMPARISON!$A:$A)</f>
        <v/>
      </c>
      <c r="E104" s="1">
        <f>C104-D104+G104</f>
        <v/>
      </c>
      <c r="F104" s="1">
        <f>IF($E104=0,"-",IF($E104&gt;0,"OVER","SHORT"))</f>
        <v/>
      </c>
      <c r="G104" s="15" t="n"/>
    </row>
    <row r="105">
      <c r="B105">
        <f>VLOOKUP($A105,DATA!$I:$J,2,FALSE)</f>
        <v/>
      </c>
      <c r="C105" s="1">
        <f>SUMIFS(PRINT!$D:$D,PRINT!$B:$B,COMPARISON!A:A,PRINT!H:H,"TRUE")</f>
        <v/>
      </c>
      <c r="D105" s="1">
        <f>SUMIFS(DATA!$K:$K,DATA!$I:$I,COMPARISON!$A:$A)</f>
        <v/>
      </c>
      <c r="E105" s="1">
        <f>C105-D105+G105</f>
        <v/>
      </c>
      <c r="F105" s="1">
        <f>IF($E105=0,"-",IF($E105&gt;0,"OVER","SHORT"))</f>
        <v/>
      </c>
      <c r="G105" s="15" t="n"/>
    </row>
    <row r="106">
      <c r="B106">
        <f>VLOOKUP($A106,DATA!$I:$J,2,FALSE)</f>
        <v/>
      </c>
      <c r="C106" s="1">
        <f>SUMIFS(PRINT!$D:$D,PRINT!$B:$B,COMPARISON!A:A,PRINT!H:H,"TRUE")</f>
        <v/>
      </c>
      <c r="D106" s="1">
        <f>SUMIFS(DATA!$K:$K,DATA!$I:$I,COMPARISON!$A:$A)</f>
        <v/>
      </c>
      <c r="E106" s="1">
        <f>C106-D106+G106</f>
        <v/>
      </c>
      <c r="F106" s="1">
        <f>IF($E106=0,"-",IF($E106&gt;0,"OVER","SHORT"))</f>
        <v/>
      </c>
      <c r="G106" s="15" t="n"/>
    </row>
    <row r="107">
      <c r="B107">
        <f>VLOOKUP($A107,DATA!$I:$J,2,FALSE)</f>
        <v/>
      </c>
      <c r="C107" s="1">
        <f>SUMIFS(PRINT!$D:$D,PRINT!$B:$B,COMPARISON!A:A,PRINT!H:H,"TRUE")</f>
        <v/>
      </c>
      <c r="D107" s="1">
        <f>SUMIFS(DATA!$K:$K,DATA!$I:$I,COMPARISON!$A:$A)</f>
        <v/>
      </c>
      <c r="E107" s="1">
        <f>C107-D107+G107</f>
        <v/>
      </c>
      <c r="F107" s="1">
        <f>IF($E107=0,"-",IF($E107&gt;0,"OVER","SHORT"))</f>
        <v/>
      </c>
      <c r="G107" s="15" t="n"/>
    </row>
    <row r="108">
      <c r="B108">
        <f>VLOOKUP($A108,DATA!$I:$J,2,FALSE)</f>
        <v/>
      </c>
      <c r="C108" s="1">
        <f>SUMIFS(PRINT!$D:$D,PRINT!$B:$B,COMPARISON!A:A,PRINT!H:H,"TRUE")</f>
        <v/>
      </c>
      <c r="D108" s="1">
        <f>SUMIFS(DATA!$K:$K,DATA!$I:$I,COMPARISON!$A:$A)</f>
        <v/>
      </c>
      <c r="E108" s="1">
        <f>C108-D108+G108</f>
        <v/>
      </c>
      <c r="F108" s="1">
        <f>IF($E108=0,"-",IF($E108&gt;0,"OVER","SHORT"))</f>
        <v/>
      </c>
      <c r="G108" s="15" t="n"/>
    </row>
    <row r="109">
      <c r="B109">
        <f>VLOOKUP($A109,DATA!$I:$J,2,FALSE)</f>
        <v/>
      </c>
      <c r="C109" s="1">
        <f>SUMIFS(PRINT!$D:$D,PRINT!$B:$B,COMPARISON!A:A,PRINT!H:H,"TRUE")</f>
        <v/>
      </c>
      <c r="D109" s="1">
        <f>SUMIFS(DATA!$K:$K,DATA!$I:$I,COMPARISON!$A:$A)</f>
        <v/>
      </c>
      <c r="E109" s="1">
        <f>C109-D109+G109</f>
        <v/>
      </c>
      <c r="F109" s="1">
        <f>IF($E109=0,"-",IF($E109&gt;0,"OVER","SHORT"))</f>
        <v/>
      </c>
      <c r="G109" s="15" t="n"/>
    </row>
    <row r="110">
      <c r="B110">
        <f>VLOOKUP($A110,DATA!$I:$J,2,FALSE)</f>
        <v/>
      </c>
      <c r="C110" s="1">
        <f>SUMIFS(PRINT!$D:$D,PRINT!$B:$B,COMPARISON!A:A,PRINT!H:H,"TRUE")</f>
        <v/>
      </c>
      <c r="D110" s="1">
        <f>SUMIFS(DATA!$K:$K,DATA!$I:$I,COMPARISON!$A:$A)</f>
        <v/>
      </c>
      <c r="E110" s="1">
        <f>C110-D110+G110</f>
        <v/>
      </c>
      <c r="F110" s="1">
        <f>IF($E110=0,"-",IF($E110&gt;0,"OVER","SHORT"))</f>
        <v/>
      </c>
      <c r="G110" s="15" t="n"/>
    </row>
    <row r="111">
      <c r="B111">
        <f>VLOOKUP($A111,DATA!$I:$J,2,FALSE)</f>
        <v/>
      </c>
      <c r="C111" s="1">
        <f>SUMIFS(PRINT!$D:$D,PRINT!$B:$B,COMPARISON!A:A,PRINT!H:H,"TRUE")</f>
        <v/>
      </c>
      <c r="D111" s="1">
        <f>SUMIFS(DATA!$K:$K,DATA!$I:$I,COMPARISON!$A:$A)</f>
        <v/>
      </c>
      <c r="E111" s="1">
        <f>C111-D111+G111</f>
        <v/>
      </c>
      <c r="F111" s="1">
        <f>IF($E111=0,"-",IF($E111&gt;0,"OVER","SHORT"))</f>
        <v/>
      </c>
      <c r="G111" s="15" t="n"/>
    </row>
    <row r="112">
      <c r="B112">
        <f>VLOOKUP($A112,DATA!$I:$J,2,FALSE)</f>
        <v/>
      </c>
      <c r="C112" s="1">
        <f>SUMIFS(PRINT!$D:$D,PRINT!$B:$B,COMPARISON!A:A,PRINT!H:H,"TRUE")</f>
        <v/>
      </c>
      <c r="D112" s="1">
        <f>SUMIFS(DATA!$K:$K,DATA!$I:$I,COMPARISON!$A:$A)</f>
        <v/>
      </c>
      <c r="E112" s="1">
        <f>C112-D112+G112</f>
        <v/>
      </c>
      <c r="F112" s="1">
        <f>IF($E112=0,"-",IF($E112&gt;0,"OVER","SHORT"))</f>
        <v/>
      </c>
      <c r="G112" s="15" t="n"/>
    </row>
    <row r="113">
      <c r="B113">
        <f>VLOOKUP($A113,DATA!$I:$J,2,FALSE)</f>
        <v/>
      </c>
      <c r="C113" s="1">
        <f>SUMIFS(PRINT!$D:$D,PRINT!$B:$B,COMPARISON!A:A,PRINT!H:H,"TRUE")</f>
        <v/>
      </c>
      <c r="D113" s="1">
        <f>SUMIFS(DATA!$K:$K,DATA!$I:$I,COMPARISON!$A:$A)</f>
        <v/>
      </c>
      <c r="E113" s="1">
        <f>C113-D113+G113</f>
        <v/>
      </c>
      <c r="F113" s="1">
        <f>IF($E113=0,"-",IF($E113&gt;0,"OVER","SHORT"))</f>
        <v/>
      </c>
      <c r="G113" s="15" t="n"/>
    </row>
    <row r="114">
      <c r="B114">
        <f>VLOOKUP($A114,DATA!$I:$J,2,FALSE)</f>
        <v/>
      </c>
      <c r="C114" s="1">
        <f>SUMIFS(PRINT!$D:$D,PRINT!$B:$B,COMPARISON!A:A,PRINT!H:H,"TRUE")</f>
        <v/>
      </c>
      <c r="D114" s="1">
        <f>SUMIFS(DATA!$K:$K,DATA!$I:$I,COMPARISON!$A:$A)</f>
        <v/>
      </c>
      <c r="E114" s="1">
        <f>C114-D114+G114</f>
        <v/>
      </c>
      <c r="F114" s="1">
        <f>IF($E114=0,"-",IF($E114&gt;0,"OVER","SHORT"))</f>
        <v/>
      </c>
      <c r="G114" s="15" t="n"/>
    </row>
    <row r="115">
      <c r="B115">
        <f>VLOOKUP($A115,DATA!$I:$J,2,FALSE)</f>
        <v/>
      </c>
      <c r="C115" s="1">
        <f>SUMIFS(PRINT!$D:$D,PRINT!$B:$B,COMPARISON!A:A,PRINT!H:H,"TRUE")</f>
        <v/>
      </c>
      <c r="D115" s="1">
        <f>SUMIFS(DATA!$K:$K,DATA!$I:$I,COMPARISON!$A:$A)</f>
        <v/>
      </c>
      <c r="E115" s="1">
        <f>C115-D115+G115</f>
        <v/>
      </c>
      <c r="F115" s="1">
        <f>IF($E115=0,"-",IF($E115&gt;0,"OVER","SHORT"))</f>
        <v/>
      </c>
      <c r="G115" s="15" t="n"/>
    </row>
    <row r="116">
      <c r="B116">
        <f>VLOOKUP($A116,DATA!$I:$J,2,FALSE)</f>
        <v/>
      </c>
      <c r="C116" s="1">
        <f>SUMIFS(PRINT!$D:$D,PRINT!$B:$B,COMPARISON!A:A,PRINT!H:H,"TRUE")</f>
        <v/>
      </c>
      <c r="D116" s="1">
        <f>SUMIFS(DATA!$K:$K,DATA!$I:$I,COMPARISON!$A:$A)</f>
        <v/>
      </c>
      <c r="E116" s="1">
        <f>C116-D116+G116</f>
        <v/>
      </c>
      <c r="F116" s="1">
        <f>IF($E116=0,"-",IF($E116&gt;0,"OVER","SHORT"))</f>
        <v/>
      </c>
      <c r="G116" s="15" t="n"/>
    </row>
    <row r="117">
      <c r="B117">
        <f>VLOOKUP($A117,DATA!$I:$J,2,FALSE)</f>
        <v/>
      </c>
      <c r="C117" s="1">
        <f>SUMIFS(PRINT!$D:$D,PRINT!$B:$B,COMPARISON!A:A,PRINT!H:H,"TRUE")</f>
        <v/>
      </c>
      <c r="D117" s="1">
        <f>SUMIFS(DATA!$K:$K,DATA!$I:$I,COMPARISON!$A:$A)</f>
        <v/>
      </c>
      <c r="E117" s="1">
        <f>C117-D117+G117</f>
        <v/>
      </c>
      <c r="F117" s="1">
        <f>IF($E117=0,"-",IF($E117&gt;0,"OVER","SHORT"))</f>
        <v/>
      </c>
      <c r="G117" s="15" t="n"/>
    </row>
    <row r="118">
      <c r="B118">
        <f>VLOOKUP($A118,DATA!$I:$J,2,FALSE)</f>
        <v/>
      </c>
      <c r="C118" s="1">
        <f>SUMIFS(PRINT!$D:$D,PRINT!$B:$B,COMPARISON!A:A,PRINT!H:H,"TRUE")</f>
        <v/>
      </c>
      <c r="D118" s="1">
        <f>SUMIFS(DATA!$K:$K,DATA!$I:$I,COMPARISON!$A:$A)</f>
        <v/>
      </c>
      <c r="E118" s="1">
        <f>C118-D118+G118</f>
        <v/>
      </c>
      <c r="F118" s="1">
        <f>IF($E118=0,"-",IF($E118&gt;0,"OVER","SHORT"))</f>
        <v/>
      </c>
      <c r="G118" s="15" t="n"/>
    </row>
    <row r="119">
      <c r="B119">
        <f>VLOOKUP($A119,DATA!$I:$J,2,FALSE)</f>
        <v/>
      </c>
      <c r="C119" s="1">
        <f>SUMIFS(PRINT!$D:$D,PRINT!$B:$B,COMPARISON!A:A,PRINT!H:H,"TRUE")</f>
        <v/>
      </c>
      <c r="D119" s="1">
        <f>SUMIFS(DATA!$K:$K,DATA!$I:$I,COMPARISON!$A:$A)</f>
        <v/>
      </c>
      <c r="E119" s="1">
        <f>C119-D119+G119</f>
        <v/>
      </c>
      <c r="F119" s="1">
        <f>IF($E119=0,"-",IF($E119&gt;0,"OVER","SHORT"))</f>
        <v/>
      </c>
      <c r="G119" s="15" t="n"/>
    </row>
    <row r="120">
      <c r="B120">
        <f>VLOOKUP($A120,DATA!$I:$J,2,FALSE)</f>
        <v/>
      </c>
      <c r="C120" s="1">
        <f>SUMIFS(PRINT!$D:$D,PRINT!$B:$B,COMPARISON!A:A,PRINT!H:H,"TRUE")</f>
        <v/>
      </c>
      <c r="D120" s="1">
        <f>SUMIFS(DATA!$K:$K,DATA!$I:$I,COMPARISON!$A:$A)</f>
        <v/>
      </c>
      <c r="E120" s="1">
        <f>C120-D120+G120</f>
        <v/>
      </c>
      <c r="F120" s="1">
        <f>IF($E120=0,"-",IF($E120&gt;0,"OVER","SHORT"))</f>
        <v/>
      </c>
      <c r="G120" s="15" t="n"/>
    </row>
    <row r="121">
      <c r="B121">
        <f>VLOOKUP($A121,DATA!$I:$J,2,FALSE)</f>
        <v/>
      </c>
      <c r="C121" s="1">
        <f>SUMIFS(PRINT!$D:$D,PRINT!$B:$B,COMPARISON!A:A,PRINT!H:H,"TRUE")</f>
        <v/>
      </c>
      <c r="D121" s="1">
        <f>SUMIFS(DATA!$K:$K,DATA!$I:$I,COMPARISON!$A:$A)</f>
        <v/>
      </c>
      <c r="E121" s="1">
        <f>C121-D121+G121</f>
        <v/>
      </c>
      <c r="F121" s="1">
        <f>IF($E121=0,"-",IF($E121&gt;0,"OVER","SHORT"))</f>
        <v/>
      </c>
      <c r="G121" s="15" t="n"/>
    </row>
    <row r="122">
      <c r="B122">
        <f>VLOOKUP($A122,DATA!$I:$J,2,FALSE)</f>
        <v/>
      </c>
      <c r="C122" s="1">
        <f>SUMIFS(PRINT!$D:$D,PRINT!$B:$B,COMPARISON!A:A,PRINT!H:H,"TRUE")</f>
        <v/>
      </c>
      <c r="D122" s="1">
        <f>SUMIFS(DATA!$K:$K,DATA!$I:$I,COMPARISON!$A:$A)</f>
        <v/>
      </c>
      <c r="E122" s="1">
        <f>C122-D122+G122</f>
        <v/>
      </c>
      <c r="F122" s="1">
        <f>IF($E122=0,"-",IF($E122&gt;0,"OVER","SHORT"))</f>
        <v/>
      </c>
      <c r="G122" s="15" t="n"/>
    </row>
    <row r="123">
      <c r="B123">
        <f>VLOOKUP($A123,DATA!$I:$J,2,FALSE)</f>
        <v/>
      </c>
      <c r="C123" s="1">
        <f>SUMIFS(PRINT!$D:$D,PRINT!$B:$B,COMPARISON!A:A,PRINT!H:H,"TRUE")</f>
        <v/>
      </c>
      <c r="D123" s="1">
        <f>SUMIFS(DATA!$K:$K,DATA!$I:$I,COMPARISON!$A:$A)</f>
        <v/>
      </c>
      <c r="E123" s="1">
        <f>C123-D123+G123</f>
        <v/>
      </c>
      <c r="F123" s="1">
        <f>IF($E123=0,"-",IF($E123&gt;0,"OVER","SHORT"))</f>
        <v/>
      </c>
      <c r="G123" s="15" t="n"/>
    </row>
    <row r="124">
      <c r="B124">
        <f>VLOOKUP($A124,DATA!$I:$J,2,FALSE)</f>
        <v/>
      </c>
      <c r="C124" s="1">
        <f>SUMIFS(PRINT!$D:$D,PRINT!$B:$B,COMPARISON!A:A,PRINT!H:H,"TRUE")</f>
        <v/>
      </c>
      <c r="D124" s="1">
        <f>SUMIFS(DATA!$K:$K,DATA!$I:$I,COMPARISON!$A:$A)</f>
        <v/>
      </c>
      <c r="E124" s="1">
        <f>C124-D124+G124</f>
        <v/>
      </c>
      <c r="F124" s="1">
        <f>IF($E124=0,"-",IF($E124&gt;0,"OVER","SHORT"))</f>
        <v/>
      </c>
      <c r="G124" s="15" t="n"/>
    </row>
    <row r="125">
      <c r="B125">
        <f>VLOOKUP($A125,DATA!$I:$J,2,FALSE)</f>
        <v/>
      </c>
      <c r="C125" s="1">
        <f>SUMIFS(PRINT!$D:$D,PRINT!$B:$B,COMPARISON!A:A,PRINT!H:H,"TRUE")</f>
        <v/>
      </c>
      <c r="D125" s="1">
        <f>SUMIFS(DATA!$K:$K,DATA!$I:$I,COMPARISON!$A:$A)</f>
        <v/>
      </c>
      <c r="E125" s="1">
        <f>C125-D125+G125</f>
        <v/>
      </c>
      <c r="F125" s="1">
        <f>IF($E125=0,"-",IF($E125&gt;0,"OVER","SHORT"))</f>
        <v/>
      </c>
      <c r="G125" s="15" t="n"/>
    </row>
    <row r="126">
      <c r="B126">
        <f>VLOOKUP($A126,DATA!$I:$J,2,FALSE)</f>
        <v/>
      </c>
      <c r="C126" s="1">
        <f>SUMIFS(PRINT!$D:$D,PRINT!$B:$B,COMPARISON!A:A,PRINT!H:H,"TRUE")</f>
        <v/>
      </c>
      <c r="D126" s="1">
        <f>SUMIFS(DATA!$K:$K,DATA!$I:$I,COMPARISON!$A:$A)</f>
        <v/>
      </c>
      <c r="E126" s="1">
        <f>C126-D126+G126</f>
        <v/>
      </c>
      <c r="F126" s="1">
        <f>IF($E126=0,"-",IF($E126&gt;0,"OVER","SHORT"))</f>
        <v/>
      </c>
      <c r="G126" s="15" t="n"/>
    </row>
    <row r="127">
      <c r="B127">
        <f>VLOOKUP($A127,DATA!$I:$J,2,FALSE)</f>
        <v/>
      </c>
      <c r="C127" s="1">
        <f>SUMIFS(PRINT!$D:$D,PRINT!$B:$B,COMPARISON!A:A,PRINT!H:H,"TRUE")</f>
        <v/>
      </c>
      <c r="D127" s="1">
        <f>SUMIFS(DATA!$K:$K,DATA!$I:$I,COMPARISON!$A:$A)</f>
        <v/>
      </c>
      <c r="E127" s="1">
        <f>C127-D127+G127</f>
        <v/>
      </c>
      <c r="F127" s="1">
        <f>IF($E127=0,"-",IF($E127&gt;0,"OVER","SHORT"))</f>
        <v/>
      </c>
      <c r="G127" s="15" t="n"/>
    </row>
    <row r="128">
      <c r="B128">
        <f>VLOOKUP($A128,DATA!$I:$J,2,FALSE)</f>
        <v/>
      </c>
      <c r="C128" s="1">
        <f>SUMIFS(PRINT!$D:$D,PRINT!$B:$B,COMPARISON!A:A,PRINT!H:H,"TRUE")</f>
        <v/>
      </c>
      <c r="D128" s="1">
        <f>SUMIFS(DATA!$K:$K,DATA!$I:$I,COMPARISON!$A:$A)</f>
        <v/>
      </c>
      <c r="E128" s="1">
        <f>C128-D128+G128</f>
        <v/>
      </c>
      <c r="F128" s="1">
        <f>IF($E128=0,"-",IF($E128&gt;0,"OVER","SHORT"))</f>
        <v/>
      </c>
      <c r="G128" s="15" t="n"/>
    </row>
    <row r="129">
      <c r="B129">
        <f>VLOOKUP($A129,DATA!$I:$J,2,FALSE)</f>
        <v/>
      </c>
      <c r="C129" s="1">
        <f>SUMIFS(PRINT!$D:$D,PRINT!$B:$B,COMPARISON!A:A,PRINT!H:H,"TRUE")</f>
        <v/>
      </c>
      <c r="D129" s="1">
        <f>SUMIFS(DATA!$K:$K,DATA!$I:$I,COMPARISON!$A:$A)</f>
        <v/>
      </c>
      <c r="E129" s="1">
        <f>C129-D129+G129</f>
        <v/>
      </c>
      <c r="F129" s="1">
        <f>IF($E129=0,"-",IF($E129&gt;0,"OVER","SHORT"))</f>
        <v/>
      </c>
      <c r="G129" s="15" t="n"/>
    </row>
    <row r="130">
      <c r="B130">
        <f>VLOOKUP($A130,DATA!$I:$J,2,FALSE)</f>
        <v/>
      </c>
      <c r="C130" s="1">
        <f>SUMIFS(PRINT!$D:$D,PRINT!$B:$B,COMPARISON!A:A,PRINT!H:H,"TRUE")</f>
        <v/>
      </c>
      <c r="D130" s="1">
        <f>SUMIFS(DATA!$K:$K,DATA!$I:$I,COMPARISON!$A:$A)</f>
        <v/>
      </c>
      <c r="E130" s="1">
        <f>C130-D130+G130</f>
        <v/>
      </c>
      <c r="F130" s="1">
        <f>IF($E130=0,"-",IF($E130&gt;0,"OVER","SHORT"))</f>
        <v/>
      </c>
      <c r="G130" s="15" t="n"/>
    </row>
    <row r="131">
      <c r="B131">
        <f>VLOOKUP($A131,DATA!$I:$J,2,FALSE)</f>
        <v/>
      </c>
      <c r="C131" s="1">
        <f>SUMIFS(PRINT!$D:$D,PRINT!$B:$B,COMPARISON!A:A,PRINT!H:H,"TRUE")</f>
        <v/>
      </c>
      <c r="D131" s="1">
        <f>SUMIFS(DATA!$K:$K,DATA!$I:$I,COMPARISON!$A:$A)</f>
        <v/>
      </c>
      <c r="E131" s="1">
        <f>C131-D131+G131</f>
        <v/>
      </c>
      <c r="F131" s="1">
        <f>IF($E131=0,"-",IF($E131&gt;0,"OVER","SHORT"))</f>
        <v/>
      </c>
      <c r="G131" s="15" t="n"/>
    </row>
    <row r="132">
      <c r="B132">
        <f>VLOOKUP($A132,DATA!$I:$J,2,FALSE)</f>
        <v/>
      </c>
      <c r="C132" s="1">
        <f>SUMIFS(PRINT!$D:$D,PRINT!$B:$B,COMPARISON!A:A,PRINT!H:H,"TRUE")</f>
        <v/>
      </c>
      <c r="D132" s="1">
        <f>SUMIFS(DATA!$K:$K,DATA!$I:$I,COMPARISON!$A:$A)</f>
        <v/>
      </c>
      <c r="E132" s="1">
        <f>C132-D132+G132</f>
        <v/>
      </c>
      <c r="F132" s="1">
        <f>IF($E132=0,"-",IF($E132&gt;0,"OVER","SHORT"))</f>
        <v/>
      </c>
      <c r="G132" s="15" t="n"/>
    </row>
    <row r="133">
      <c r="B133">
        <f>VLOOKUP($A133,DATA!$I:$J,2,FALSE)</f>
        <v/>
      </c>
      <c r="C133" s="1">
        <f>SUMIFS(PRINT!$D:$D,PRINT!$B:$B,COMPARISON!A:A,PRINT!H:H,"TRUE")</f>
        <v/>
      </c>
      <c r="D133" s="1">
        <f>SUMIFS(DATA!$K:$K,DATA!$I:$I,COMPARISON!$A:$A)</f>
        <v/>
      </c>
      <c r="E133" s="1">
        <f>C133-D133+G133</f>
        <v/>
      </c>
      <c r="F133" s="1">
        <f>IF($E133=0,"-",IF($E133&gt;0,"OVER","SHORT"))</f>
        <v/>
      </c>
      <c r="G133" s="15" t="n"/>
    </row>
    <row r="134">
      <c r="B134">
        <f>VLOOKUP($A134,DATA!$I:$J,2,FALSE)</f>
        <v/>
      </c>
      <c r="C134" s="1">
        <f>SUMIFS(PRINT!$D:$D,PRINT!$B:$B,COMPARISON!A:A,PRINT!H:H,"TRUE")</f>
        <v/>
      </c>
      <c r="D134" s="1">
        <f>SUMIFS(DATA!$K:$K,DATA!$I:$I,COMPARISON!$A:$A)</f>
        <v/>
      </c>
      <c r="E134" s="1">
        <f>C134-D134+G134</f>
        <v/>
      </c>
      <c r="F134" s="1">
        <f>IF($E134=0,"-",IF($E134&gt;0,"OVER","SHORT"))</f>
        <v/>
      </c>
      <c r="G134" s="15" t="n"/>
    </row>
    <row r="135">
      <c r="B135">
        <f>VLOOKUP($A135,DATA!$I:$J,2,FALSE)</f>
        <v/>
      </c>
      <c r="C135" s="1">
        <f>SUMIFS(PRINT!$D:$D,PRINT!$B:$B,COMPARISON!A:A,PRINT!H:H,"TRUE")</f>
        <v/>
      </c>
      <c r="D135" s="1">
        <f>SUMIFS(DATA!$K:$K,DATA!$I:$I,COMPARISON!$A:$A)</f>
        <v/>
      </c>
      <c r="E135" s="1">
        <f>C135-D135+G135</f>
        <v/>
      </c>
      <c r="F135" s="1">
        <f>IF($E135=0,"-",IF($E135&gt;0,"OVER","SHORT"))</f>
        <v/>
      </c>
      <c r="G135" s="15" t="n"/>
    </row>
    <row r="136">
      <c r="B136">
        <f>VLOOKUP($A136,DATA!$I:$J,2,FALSE)</f>
        <v/>
      </c>
      <c r="C136" s="1">
        <f>SUMIFS(PRINT!$D:$D,PRINT!$B:$B,COMPARISON!A:A,PRINT!H:H,"TRUE")</f>
        <v/>
      </c>
      <c r="D136" s="1">
        <f>SUMIFS(DATA!$K:$K,DATA!$I:$I,COMPARISON!$A:$A)</f>
        <v/>
      </c>
      <c r="E136" s="1">
        <f>C136-D136+G136</f>
        <v/>
      </c>
      <c r="F136" s="1">
        <f>IF($E136=0,"-",IF($E136&gt;0,"OVER","SHORT"))</f>
        <v/>
      </c>
      <c r="G136" s="15" t="n"/>
    </row>
    <row r="137">
      <c r="B137">
        <f>VLOOKUP($A137,DATA!$I:$J,2,FALSE)</f>
        <v/>
      </c>
      <c r="C137" s="1">
        <f>SUMIFS(PRINT!$D:$D,PRINT!$B:$B,COMPARISON!A:A,PRINT!H:H,"TRUE")</f>
        <v/>
      </c>
      <c r="D137" s="1">
        <f>SUMIFS(DATA!$K:$K,DATA!$I:$I,COMPARISON!$A:$A)</f>
        <v/>
      </c>
      <c r="E137" s="1">
        <f>C137-D137+G137</f>
        <v/>
      </c>
      <c r="F137" s="1">
        <f>IF($E137=0,"-",IF($E137&gt;0,"OVER","SHORT"))</f>
        <v/>
      </c>
      <c r="G137" s="15" t="n"/>
    </row>
    <row r="138">
      <c r="B138">
        <f>VLOOKUP($A138,DATA!$I:$J,2,FALSE)</f>
        <v/>
      </c>
      <c r="C138" s="1">
        <f>SUMIFS(PRINT!$D:$D,PRINT!$B:$B,COMPARISON!A:A,PRINT!H:H,"TRUE")</f>
        <v/>
      </c>
      <c r="D138" s="1">
        <f>SUMIFS(DATA!$K:$K,DATA!$I:$I,COMPARISON!$A:$A)</f>
        <v/>
      </c>
      <c r="E138" s="1">
        <f>C138-D138+G138</f>
        <v/>
      </c>
      <c r="F138" s="1">
        <f>IF($E138=0,"-",IF($E138&gt;0,"OVER","SHORT"))</f>
        <v/>
      </c>
      <c r="G138" s="15" t="n"/>
    </row>
    <row r="139">
      <c r="B139">
        <f>VLOOKUP($A139,DATA!$I:$J,2,FALSE)</f>
        <v/>
      </c>
      <c r="C139" s="1">
        <f>SUMIFS(PRINT!$D:$D,PRINT!$B:$B,COMPARISON!A:A,PRINT!H:H,"TRUE")</f>
        <v/>
      </c>
      <c r="D139" s="1">
        <f>SUMIFS(DATA!$K:$K,DATA!$I:$I,COMPARISON!$A:$A)</f>
        <v/>
      </c>
      <c r="E139" s="1">
        <f>C139-D139+G139</f>
        <v/>
      </c>
      <c r="F139" s="1">
        <f>IF($E139=0,"-",IF($E139&gt;0,"OVER","SHORT"))</f>
        <v/>
      </c>
      <c r="G139" s="15" t="n"/>
    </row>
    <row r="140">
      <c r="B140">
        <f>VLOOKUP($A140,DATA!$I:$J,2,FALSE)</f>
        <v/>
      </c>
      <c r="C140" s="1">
        <f>SUMIFS(PRINT!$D:$D,PRINT!$B:$B,COMPARISON!A:A,PRINT!H:H,"TRUE")</f>
        <v/>
      </c>
      <c r="D140" s="1">
        <f>SUMIFS(DATA!$K:$K,DATA!$I:$I,COMPARISON!$A:$A)</f>
        <v/>
      </c>
      <c r="E140" s="1">
        <f>C140-D140+G140</f>
        <v/>
      </c>
      <c r="F140" s="1">
        <f>IF($E140=0,"-",IF($E140&gt;0,"OVER","SHORT"))</f>
        <v/>
      </c>
      <c r="G140" s="15" t="n"/>
    </row>
    <row r="141">
      <c r="B141">
        <f>VLOOKUP($A141,DATA!$I:$J,2,FALSE)</f>
        <v/>
      </c>
      <c r="C141" s="1">
        <f>SUMIFS(PRINT!$D:$D,PRINT!$B:$B,COMPARISON!A:A,PRINT!H:H,"TRUE")</f>
        <v/>
      </c>
      <c r="D141" s="1">
        <f>SUMIFS(DATA!$K:$K,DATA!$I:$I,COMPARISON!$A:$A)</f>
        <v/>
      </c>
      <c r="E141" s="1">
        <f>C141-D141+G141</f>
        <v/>
      </c>
      <c r="F141" s="1">
        <f>IF($E141=0,"-",IF($E141&gt;0,"OVER","SHORT"))</f>
        <v/>
      </c>
      <c r="G141" s="15" t="n"/>
    </row>
    <row r="142">
      <c r="B142">
        <f>VLOOKUP($A142,DATA!$I:$J,2,FALSE)</f>
        <v/>
      </c>
      <c r="C142" s="1">
        <f>SUMIFS(PRINT!$D:$D,PRINT!$B:$B,COMPARISON!A:A,PRINT!H:H,"TRUE")</f>
        <v/>
      </c>
      <c r="D142" s="1">
        <f>SUMIFS(DATA!$K:$K,DATA!$I:$I,COMPARISON!$A:$A)</f>
        <v/>
      </c>
      <c r="E142" s="1">
        <f>C142-D142+G142</f>
        <v/>
      </c>
      <c r="F142" s="1">
        <f>IF($E142=0,"-",IF($E142&gt;0,"OVER","SHORT"))</f>
        <v/>
      </c>
      <c r="G142" s="15" t="n"/>
    </row>
    <row r="143">
      <c r="B143">
        <f>VLOOKUP($A143,DATA!$I:$J,2,FALSE)</f>
        <v/>
      </c>
      <c r="C143" s="1">
        <f>SUMIFS(PRINT!$D:$D,PRINT!$B:$B,COMPARISON!A:A,PRINT!H:H,"TRUE")</f>
        <v/>
      </c>
      <c r="D143" s="1">
        <f>SUMIFS(DATA!$K:$K,DATA!$I:$I,COMPARISON!$A:$A)</f>
        <v/>
      </c>
      <c r="E143" s="1">
        <f>C143-D143+G143</f>
        <v/>
      </c>
      <c r="F143" s="1">
        <f>IF($E143=0,"-",IF($E143&gt;0,"OVER","SHORT"))</f>
        <v/>
      </c>
      <c r="G143" s="15" t="n"/>
    </row>
    <row r="144">
      <c r="B144">
        <f>VLOOKUP($A144,DATA!$I:$J,2,FALSE)</f>
        <v/>
      </c>
      <c r="C144" s="1">
        <f>SUMIFS(PRINT!$D:$D,PRINT!$B:$B,COMPARISON!A:A,PRINT!H:H,"TRUE")</f>
        <v/>
      </c>
      <c r="D144" s="1">
        <f>SUMIFS(DATA!$K:$K,DATA!$I:$I,COMPARISON!$A:$A)</f>
        <v/>
      </c>
      <c r="E144" s="1">
        <f>C144-D144+G144</f>
        <v/>
      </c>
      <c r="F144" s="1">
        <f>IF($E144=0,"-",IF($E144&gt;0,"OVER","SHORT"))</f>
        <v/>
      </c>
      <c r="G144" s="15" t="n"/>
    </row>
    <row r="145">
      <c r="B145">
        <f>VLOOKUP($A145,DATA!$I:$J,2,FALSE)</f>
        <v/>
      </c>
      <c r="C145" s="1">
        <f>SUMIFS(PRINT!$D:$D,PRINT!$B:$B,COMPARISON!A:A,PRINT!H:H,"TRUE")</f>
        <v/>
      </c>
      <c r="D145" s="1">
        <f>SUMIFS(DATA!$K:$K,DATA!$I:$I,COMPARISON!$A:$A)</f>
        <v/>
      </c>
      <c r="E145" s="1">
        <f>C145-D145+G145</f>
        <v/>
      </c>
      <c r="F145" s="1">
        <f>IF($E145=0,"-",IF($E145&gt;0,"OVER","SHORT"))</f>
        <v/>
      </c>
      <c r="G145" s="15" t="n"/>
    </row>
    <row r="146">
      <c r="B146">
        <f>VLOOKUP($A146,DATA!$I:$J,2,FALSE)</f>
        <v/>
      </c>
      <c r="C146" s="1">
        <f>SUMIFS(PRINT!$D:$D,PRINT!$B:$B,COMPARISON!A:A,PRINT!H:H,"TRUE")</f>
        <v/>
      </c>
      <c r="D146" s="1">
        <f>SUMIFS(DATA!$K:$K,DATA!$I:$I,COMPARISON!$A:$A)</f>
        <v/>
      </c>
      <c r="E146" s="1">
        <f>C146-D146+G146</f>
        <v/>
      </c>
      <c r="F146" s="1">
        <f>IF($E146=0,"-",IF($E146&gt;0,"OVER","SHORT"))</f>
        <v/>
      </c>
      <c r="G146" s="15" t="n"/>
    </row>
    <row r="147">
      <c r="B147">
        <f>VLOOKUP($A147,DATA!$I:$J,2,FALSE)</f>
        <v/>
      </c>
      <c r="C147" s="1">
        <f>SUMIFS(PRINT!$D:$D,PRINT!$B:$B,COMPARISON!A:A,PRINT!H:H,"TRUE")</f>
        <v/>
      </c>
      <c r="D147" s="1">
        <f>SUMIFS(DATA!$K:$K,DATA!$I:$I,COMPARISON!$A:$A)</f>
        <v/>
      </c>
      <c r="E147" s="1">
        <f>C147-D147+G147</f>
        <v/>
      </c>
      <c r="F147" s="1">
        <f>IF($E147=0,"-",IF($E147&gt;0,"OVER","SHORT"))</f>
        <v/>
      </c>
      <c r="G147" s="15" t="n"/>
    </row>
    <row r="148">
      <c r="B148">
        <f>VLOOKUP($A148,DATA!$I:$J,2,FALSE)</f>
        <v/>
      </c>
      <c r="C148" s="1">
        <f>SUMIFS(PRINT!$D:$D,PRINT!$B:$B,COMPARISON!A:A,PRINT!H:H,"TRUE")</f>
        <v/>
      </c>
      <c r="D148" s="1">
        <f>SUMIFS(DATA!$K:$K,DATA!$I:$I,COMPARISON!$A:$A)</f>
        <v/>
      </c>
      <c r="E148" s="1">
        <f>C148-D148+G148</f>
        <v/>
      </c>
      <c r="F148" s="1">
        <f>IF($E148=0,"-",IF($E148&gt;0,"OVER","SHORT"))</f>
        <v/>
      </c>
      <c r="G148" s="15" t="n"/>
    </row>
    <row r="149">
      <c r="B149">
        <f>VLOOKUP($A149,DATA!$I:$J,2,FALSE)</f>
        <v/>
      </c>
      <c r="C149" s="1">
        <f>SUMIFS(PRINT!$D:$D,PRINT!$B:$B,COMPARISON!A:A,PRINT!H:H,"TRUE")</f>
        <v/>
      </c>
      <c r="D149" s="1">
        <f>SUMIFS(DATA!$K:$K,DATA!$I:$I,COMPARISON!$A:$A)</f>
        <v/>
      </c>
      <c r="E149" s="1">
        <f>C149-D149+G149</f>
        <v/>
      </c>
      <c r="F149" s="1">
        <f>IF($E149=0,"-",IF($E149&gt;0,"OVER","SHORT"))</f>
        <v/>
      </c>
      <c r="G149" s="15" t="n"/>
    </row>
    <row r="150">
      <c r="B150">
        <f>VLOOKUP($A150,DATA!$I:$J,2,FALSE)</f>
        <v/>
      </c>
      <c r="C150" s="1">
        <f>SUMIFS(PRINT!$D:$D,PRINT!$B:$B,COMPARISON!A:A,PRINT!H:H,"TRUE")</f>
        <v/>
      </c>
      <c r="D150" s="1">
        <f>SUMIFS(DATA!$K:$K,DATA!$I:$I,COMPARISON!$A:$A)</f>
        <v/>
      </c>
      <c r="E150" s="1">
        <f>C150-D150+G150</f>
        <v/>
      </c>
      <c r="F150" s="1">
        <f>IF($E150=0,"-",IF($E150&gt;0,"OVER","SHORT"))</f>
        <v/>
      </c>
      <c r="G150" s="15" t="n"/>
    </row>
    <row r="151">
      <c r="B151">
        <f>VLOOKUP($A151,DATA!$I:$J,2,FALSE)</f>
        <v/>
      </c>
      <c r="C151" s="1">
        <f>SUMIFS(PRINT!$D:$D,PRINT!$B:$B,COMPARISON!A:A,PRINT!H:H,"TRUE")</f>
        <v/>
      </c>
      <c r="D151" s="1">
        <f>SUMIFS(DATA!$K:$K,DATA!$I:$I,COMPARISON!$A:$A)</f>
        <v/>
      </c>
      <c r="E151" s="1">
        <f>C151-D151+G151</f>
        <v/>
      </c>
      <c r="F151" s="1">
        <f>IF($E151=0,"-",IF($E151&gt;0,"OVER","SHORT"))</f>
        <v/>
      </c>
      <c r="G151" s="15" t="n"/>
    </row>
    <row r="152">
      <c r="B152">
        <f>VLOOKUP($A152,DATA!$I:$J,2,FALSE)</f>
        <v/>
      </c>
      <c r="C152" s="1">
        <f>SUMIFS(PRINT!$D:$D,PRINT!$B:$B,COMPARISON!A:A,PRINT!H:H,"TRUE")</f>
        <v/>
      </c>
      <c r="D152" s="1">
        <f>SUMIFS(DATA!$K:$K,DATA!$I:$I,COMPARISON!$A:$A)</f>
        <v/>
      </c>
      <c r="E152" s="1">
        <f>C152-D152+G152</f>
        <v/>
      </c>
      <c r="F152" s="1">
        <f>IF($E152=0,"-",IF($E152&gt;0,"OVER","SHORT"))</f>
        <v/>
      </c>
      <c r="G152" s="15" t="n"/>
    </row>
    <row r="153">
      <c r="B153">
        <f>VLOOKUP($A153,DATA!$I:$J,2,FALSE)</f>
        <v/>
      </c>
      <c r="C153" s="1">
        <f>SUMIFS(PRINT!$D:$D,PRINT!$B:$B,COMPARISON!A:A,PRINT!H:H,"TRUE")</f>
        <v/>
      </c>
      <c r="D153" s="1">
        <f>SUMIFS(DATA!$K:$K,DATA!$I:$I,COMPARISON!$A:$A)</f>
        <v/>
      </c>
      <c r="E153" s="1">
        <f>C153-D153+G153</f>
        <v/>
      </c>
      <c r="F153" s="1">
        <f>IF($E153=0,"-",IF($E153&gt;0,"OVER","SHORT"))</f>
        <v/>
      </c>
      <c r="G153" s="15" t="n"/>
    </row>
    <row r="154">
      <c r="B154">
        <f>VLOOKUP($A154,DATA!$I:$J,2,FALSE)</f>
        <v/>
      </c>
      <c r="C154" s="1">
        <f>SUMIFS(PRINT!$D:$D,PRINT!$B:$B,COMPARISON!A:A,PRINT!H:H,"TRUE")</f>
        <v/>
      </c>
      <c r="D154" s="1">
        <f>SUMIFS(DATA!$K:$K,DATA!$I:$I,COMPARISON!$A:$A)</f>
        <v/>
      </c>
      <c r="E154" s="1">
        <f>C154-D154+G154</f>
        <v/>
      </c>
      <c r="F154" s="1">
        <f>IF($E154=0,"-",IF($E154&gt;0,"OVER","SHORT"))</f>
        <v/>
      </c>
      <c r="G154" s="15" t="n"/>
    </row>
    <row r="155">
      <c r="B155">
        <f>VLOOKUP($A155,DATA!$I:$J,2,FALSE)</f>
        <v/>
      </c>
      <c r="C155" s="1">
        <f>SUMIFS(PRINT!$D:$D,PRINT!$B:$B,COMPARISON!A:A,PRINT!H:H,"TRUE")</f>
        <v/>
      </c>
      <c r="D155" s="1">
        <f>SUMIFS(DATA!$K:$K,DATA!$I:$I,COMPARISON!$A:$A)</f>
        <v/>
      </c>
      <c r="E155" s="1">
        <f>C155-D155+G155</f>
        <v/>
      </c>
      <c r="F155" s="1">
        <f>IF($E155=0,"-",IF($E155&gt;0,"OVER","SHORT"))</f>
        <v/>
      </c>
      <c r="G155" s="15" t="n"/>
    </row>
    <row r="156">
      <c r="B156">
        <f>VLOOKUP($A156,DATA!$I:$J,2,FALSE)</f>
        <v/>
      </c>
      <c r="C156" s="1">
        <f>SUMIFS(PRINT!$D:$D,PRINT!$B:$B,COMPARISON!A:A,PRINT!H:H,"TRUE")</f>
        <v/>
      </c>
      <c r="D156" s="1">
        <f>SUMIFS(DATA!$K:$K,DATA!$I:$I,COMPARISON!$A:$A)</f>
        <v/>
      </c>
      <c r="E156" s="1">
        <f>C156-D156+G156</f>
        <v/>
      </c>
      <c r="F156" s="1">
        <f>IF($E156=0,"-",IF($E156&gt;0,"OVER","SHORT"))</f>
        <v/>
      </c>
      <c r="G156" s="15" t="n"/>
    </row>
    <row r="157">
      <c r="B157">
        <f>VLOOKUP($A157,DATA!$I:$J,2,FALSE)</f>
        <v/>
      </c>
      <c r="C157" s="1">
        <f>SUMIFS(PRINT!$D:$D,PRINT!$B:$B,COMPARISON!A:A,PRINT!H:H,"TRUE")</f>
        <v/>
      </c>
      <c r="D157" s="1">
        <f>SUMIFS(DATA!$K:$K,DATA!$I:$I,COMPARISON!$A:$A)</f>
        <v/>
      </c>
      <c r="E157" s="1">
        <f>C157-D157+G157</f>
        <v/>
      </c>
      <c r="F157" s="1">
        <f>IF($E157=0,"-",IF($E157&gt;0,"OVER","SHORT"))</f>
        <v/>
      </c>
      <c r="G157" s="15" t="n"/>
    </row>
    <row r="158">
      <c r="B158">
        <f>VLOOKUP($A158,DATA!$I:$J,2,FALSE)</f>
        <v/>
      </c>
      <c r="C158" s="1">
        <f>SUMIFS(PRINT!$D:$D,PRINT!$B:$B,COMPARISON!A:A,PRINT!H:H,"TRUE")</f>
        <v/>
      </c>
      <c r="D158" s="1">
        <f>SUMIFS(DATA!$K:$K,DATA!$I:$I,COMPARISON!$A:$A)</f>
        <v/>
      </c>
      <c r="E158" s="1">
        <f>C158-D158+G158</f>
        <v/>
      </c>
      <c r="F158" s="1">
        <f>IF($E158=0,"-",IF($E158&gt;0,"OVER","SHORT"))</f>
        <v/>
      </c>
      <c r="G158" s="15" t="n"/>
    </row>
    <row r="159">
      <c r="B159">
        <f>VLOOKUP($A159,DATA!$I:$J,2,FALSE)</f>
        <v/>
      </c>
      <c r="C159" s="1">
        <f>SUMIFS(PRINT!$D:$D,PRINT!$B:$B,COMPARISON!A:A,PRINT!H:H,"TRUE")</f>
        <v/>
      </c>
      <c r="D159" s="1">
        <f>SUMIFS(DATA!$K:$K,DATA!$I:$I,COMPARISON!$A:$A)</f>
        <v/>
      </c>
      <c r="E159" s="1">
        <f>C159-D159+G159</f>
        <v/>
      </c>
      <c r="F159" s="1">
        <f>IF($E159=0,"-",IF($E159&gt;0,"OVER","SHORT"))</f>
        <v/>
      </c>
      <c r="G159" s="15" t="n"/>
    </row>
    <row r="160">
      <c r="B160">
        <f>VLOOKUP($A160,DATA!$I:$J,2,FALSE)</f>
        <v/>
      </c>
      <c r="C160" s="1">
        <f>SUMIFS(PRINT!$D:$D,PRINT!$B:$B,COMPARISON!A:A,PRINT!H:H,"TRUE")</f>
        <v/>
      </c>
      <c r="D160" s="1">
        <f>SUMIFS(DATA!$K:$K,DATA!$I:$I,COMPARISON!$A:$A)</f>
        <v/>
      </c>
      <c r="E160" s="1">
        <f>C160-D160+G160</f>
        <v/>
      </c>
      <c r="F160" s="1">
        <f>IF($E160=0,"-",IF($E160&gt;0,"OVER","SHORT"))</f>
        <v/>
      </c>
      <c r="G160" s="15" t="n"/>
    </row>
    <row r="161">
      <c r="B161">
        <f>VLOOKUP($A161,DATA!$I:$J,2,FALSE)</f>
        <v/>
      </c>
      <c r="C161" s="1">
        <f>SUMIFS(PRINT!$D:$D,PRINT!$B:$B,COMPARISON!A:A,PRINT!H:H,"TRUE")</f>
        <v/>
      </c>
      <c r="D161" s="1">
        <f>SUMIFS(DATA!$K:$K,DATA!$I:$I,COMPARISON!$A:$A)</f>
        <v/>
      </c>
      <c r="E161" s="1">
        <f>C161-D161+G161</f>
        <v/>
      </c>
      <c r="F161" s="1">
        <f>IF($E161=0,"-",IF($E161&gt;0,"OVER","SHORT"))</f>
        <v/>
      </c>
      <c r="G161" s="15" t="n"/>
    </row>
    <row r="162">
      <c r="B162">
        <f>VLOOKUP($A162,DATA!$I:$J,2,FALSE)</f>
        <v/>
      </c>
      <c r="C162" s="1">
        <f>SUMIFS(PRINT!$D:$D,PRINT!$B:$B,COMPARISON!A:A,PRINT!H:H,"TRUE")</f>
        <v/>
      </c>
      <c r="D162" s="1">
        <f>SUMIFS(DATA!$K:$K,DATA!$I:$I,COMPARISON!$A:$A)</f>
        <v/>
      </c>
      <c r="E162" s="1">
        <f>C162-D162+G162</f>
        <v/>
      </c>
      <c r="F162" s="1">
        <f>IF($E162=0,"-",IF($E162&gt;0,"OVER","SHORT"))</f>
        <v/>
      </c>
      <c r="G162" s="15" t="n"/>
    </row>
    <row r="163">
      <c r="B163">
        <f>VLOOKUP($A163,DATA!$I:$J,2,FALSE)</f>
        <v/>
      </c>
      <c r="C163" s="1">
        <f>SUMIFS(PRINT!$D:$D,PRINT!$B:$B,COMPARISON!A:A,PRINT!H:H,"TRUE")</f>
        <v/>
      </c>
      <c r="D163" s="1">
        <f>SUMIFS(DATA!$K:$K,DATA!$I:$I,COMPARISON!$A:$A)</f>
        <v/>
      </c>
      <c r="E163" s="1">
        <f>C163-D163+G163</f>
        <v/>
      </c>
      <c r="F163" s="1">
        <f>IF($E163=0,"-",IF($E163&gt;0,"OVER","SHORT"))</f>
        <v/>
      </c>
      <c r="G163" s="15" t="n"/>
    </row>
    <row r="164">
      <c r="B164">
        <f>VLOOKUP($A164,DATA!$I:$J,2,FALSE)</f>
        <v/>
      </c>
      <c r="C164" s="1">
        <f>SUMIFS(PRINT!$D:$D,PRINT!$B:$B,COMPARISON!A:A,PRINT!H:H,"TRUE")</f>
        <v/>
      </c>
      <c r="D164" s="1">
        <f>SUMIFS(DATA!$K:$K,DATA!$I:$I,COMPARISON!$A:$A)</f>
        <v/>
      </c>
      <c r="E164" s="1">
        <f>C164-D164+G164</f>
        <v/>
      </c>
      <c r="F164" s="1">
        <f>IF($E164=0,"-",IF($E164&gt;0,"OVER","SHORT"))</f>
        <v/>
      </c>
      <c r="G164" s="15" t="n"/>
    </row>
    <row r="165">
      <c r="B165">
        <f>VLOOKUP($A165,DATA!$I:$J,2,FALSE)</f>
        <v/>
      </c>
      <c r="C165" s="1">
        <f>SUMIFS(PRINT!$D:$D,PRINT!$B:$B,COMPARISON!A:A,PRINT!H:H,"TRUE")</f>
        <v/>
      </c>
      <c r="D165" s="1">
        <f>SUMIFS(DATA!$K:$K,DATA!$I:$I,COMPARISON!$A:$A)</f>
        <v/>
      </c>
      <c r="E165" s="1">
        <f>C165-D165+G165</f>
        <v/>
      </c>
      <c r="F165" s="1">
        <f>IF($E165=0,"-",IF($E165&gt;0,"OVER","SHORT"))</f>
        <v/>
      </c>
      <c r="G165" s="15" t="n"/>
    </row>
    <row r="166">
      <c r="B166">
        <f>VLOOKUP($A166,DATA!$I:$J,2,FALSE)</f>
        <v/>
      </c>
      <c r="C166" s="1">
        <f>SUMIFS(PRINT!$D:$D,PRINT!$B:$B,COMPARISON!A:A,PRINT!H:H,"TRUE")</f>
        <v/>
      </c>
      <c r="D166" s="1">
        <f>SUMIFS(DATA!$K:$K,DATA!$I:$I,COMPARISON!$A:$A)</f>
        <v/>
      </c>
      <c r="E166" s="1">
        <f>C166-D166+G166</f>
        <v/>
      </c>
      <c r="F166" s="1">
        <f>IF($E166=0,"-",IF($E166&gt;0,"OVER","SHORT"))</f>
        <v/>
      </c>
      <c r="G166" s="15" t="n"/>
    </row>
    <row r="167">
      <c r="B167">
        <f>VLOOKUP($A167,DATA!$I:$J,2,FALSE)</f>
        <v/>
      </c>
      <c r="C167" s="1">
        <f>SUMIFS(PRINT!$D:$D,PRINT!$B:$B,COMPARISON!A:A,PRINT!H:H,"TRUE")</f>
        <v/>
      </c>
      <c r="D167" s="1">
        <f>SUMIFS(DATA!$K:$K,DATA!$I:$I,COMPARISON!$A:$A)</f>
        <v/>
      </c>
      <c r="E167" s="1">
        <f>C167-D167+G167</f>
        <v/>
      </c>
      <c r="F167" s="1">
        <f>IF($E167=0,"-",IF($E167&gt;0,"OVER","SHORT"))</f>
        <v/>
      </c>
      <c r="G167" s="15" t="n"/>
    </row>
    <row r="168">
      <c r="B168">
        <f>VLOOKUP($A168,DATA!$I:$J,2,FALSE)</f>
        <v/>
      </c>
      <c r="C168" s="1">
        <f>SUMIFS(PRINT!$D:$D,PRINT!$B:$B,COMPARISON!A:A,PRINT!H:H,"TRUE")</f>
        <v/>
      </c>
      <c r="D168" s="1">
        <f>SUMIFS(DATA!$K:$K,DATA!$I:$I,COMPARISON!$A:$A)</f>
        <v/>
      </c>
      <c r="E168" s="1">
        <f>C168-D168+G168</f>
        <v/>
      </c>
      <c r="F168" s="1">
        <f>IF($E168=0,"-",IF($E168&gt;0,"OVER","SHORT"))</f>
        <v/>
      </c>
      <c r="G168" s="15" t="n"/>
    </row>
    <row r="169">
      <c r="B169">
        <f>VLOOKUP($A169,DATA!$I:$J,2,FALSE)</f>
        <v/>
      </c>
      <c r="C169" s="1">
        <f>SUMIFS(PRINT!$D:$D,PRINT!$B:$B,COMPARISON!A:A,PRINT!H:H,"TRUE")</f>
        <v/>
      </c>
      <c r="D169" s="1">
        <f>SUMIFS(DATA!$K:$K,DATA!$I:$I,COMPARISON!$A:$A)</f>
        <v/>
      </c>
      <c r="E169" s="1">
        <f>C169-D169+G169</f>
        <v/>
      </c>
      <c r="F169" s="1">
        <f>IF($E169=0,"-",IF($E169&gt;0,"OVER","SHORT"))</f>
        <v/>
      </c>
      <c r="G169" s="15" t="n"/>
    </row>
    <row r="170">
      <c r="B170">
        <f>VLOOKUP($A170,DATA!$I:$J,2,FALSE)</f>
        <v/>
      </c>
      <c r="C170" s="1">
        <f>SUMIFS(PRINT!$D:$D,PRINT!$B:$B,COMPARISON!A:A,PRINT!H:H,"TRUE")</f>
        <v/>
      </c>
      <c r="D170" s="1">
        <f>SUMIFS(DATA!$K:$K,DATA!$I:$I,COMPARISON!$A:$A)</f>
        <v/>
      </c>
      <c r="E170" s="1">
        <f>C170-D170+G170</f>
        <v/>
      </c>
      <c r="F170" s="1">
        <f>IF($E170=0,"-",IF($E170&gt;0,"OVER","SHORT"))</f>
        <v/>
      </c>
      <c r="G170" s="15" t="n"/>
    </row>
    <row r="171">
      <c r="B171">
        <f>VLOOKUP($A171,DATA!$I:$J,2,FALSE)</f>
        <v/>
      </c>
      <c r="C171" s="1">
        <f>SUMIFS(PRINT!$D:$D,PRINT!$B:$B,COMPARISON!A:A,PRINT!H:H,"TRUE")</f>
        <v/>
      </c>
      <c r="D171" s="1">
        <f>SUMIFS(DATA!$K:$K,DATA!$I:$I,COMPARISON!$A:$A)</f>
        <v/>
      </c>
      <c r="E171" s="1">
        <f>C171-D171+G171</f>
        <v/>
      </c>
      <c r="F171" s="1">
        <f>IF($E171=0,"-",IF($E171&gt;0,"OVER","SHORT"))</f>
        <v/>
      </c>
      <c r="G171" s="15" t="n"/>
    </row>
    <row r="172">
      <c r="B172">
        <f>VLOOKUP($A172,DATA!$I:$J,2,FALSE)</f>
        <v/>
      </c>
      <c r="C172" s="1">
        <f>SUMIFS(PRINT!$D:$D,PRINT!$B:$B,COMPARISON!A:A,PRINT!H:H,"TRUE")</f>
        <v/>
      </c>
      <c r="D172" s="1">
        <f>SUMIFS(DATA!$K:$K,DATA!$I:$I,COMPARISON!$A:$A)</f>
        <v/>
      </c>
      <c r="E172" s="1">
        <f>C172-D172+G172</f>
        <v/>
      </c>
      <c r="F172" s="1">
        <f>IF($E172=0,"-",IF($E172&gt;0,"OVER","SHORT"))</f>
        <v/>
      </c>
      <c r="G172" s="15" t="n"/>
    </row>
    <row r="173">
      <c r="B173">
        <f>VLOOKUP($A173,DATA!$I:$J,2,FALSE)</f>
        <v/>
      </c>
      <c r="C173" s="1">
        <f>SUMIFS(PRINT!$D:$D,PRINT!$B:$B,COMPARISON!A:A,PRINT!H:H,"TRUE")</f>
        <v/>
      </c>
      <c r="D173" s="1">
        <f>SUMIFS(DATA!$K:$K,DATA!$I:$I,COMPARISON!$A:$A)</f>
        <v/>
      </c>
      <c r="E173" s="1">
        <f>C173-D173+G173</f>
        <v/>
      </c>
      <c r="F173" s="1">
        <f>IF($E173=0,"-",IF($E173&gt;0,"OVER","SHORT"))</f>
        <v/>
      </c>
      <c r="G173" s="15" t="n"/>
    </row>
    <row r="174">
      <c r="B174">
        <f>VLOOKUP($A174,DATA!$I:$J,2,FALSE)</f>
        <v/>
      </c>
      <c r="C174" s="1">
        <f>SUMIFS(PRINT!$D:$D,PRINT!$B:$B,COMPARISON!A:A,PRINT!H:H,"TRUE")</f>
        <v/>
      </c>
      <c r="D174" s="1">
        <f>SUMIFS(DATA!$K:$K,DATA!$I:$I,COMPARISON!$A:$A)</f>
        <v/>
      </c>
      <c r="E174" s="1">
        <f>C174-D174+G174</f>
        <v/>
      </c>
      <c r="F174" s="1">
        <f>IF($E174=0,"-",IF($E174&gt;0,"OVER","SHORT"))</f>
        <v/>
      </c>
      <c r="G174" s="15" t="n"/>
    </row>
    <row r="175">
      <c r="B175">
        <f>VLOOKUP($A175,DATA!$I:$J,2,FALSE)</f>
        <v/>
      </c>
      <c r="C175" s="1">
        <f>SUMIFS(PRINT!$D:$D,PRINT!$B:$B,COMPARISON!A:A,PRINT!H:H,"TRUE")</f>
        <v/>
      </c>
      <c r="D175" s="1">
        <f>SUMIFS(DATA!$K:$K,DATA!$I:$I,COMPARISON!$A:$A)</f>
        <v/>
      </c>
      <c r="E175" s="1">
        <f>C175-D175+G175</f>
        <v/>
      </c>
      <c r="F175" s="1">
        <f>IF($E175=0,"-",IF($E175&gt;0,"OVER","SHORT"))</f>
        <v/>
      </c>
      <c r="G175" s="15" t="n"/>
    </row>
    <row r="176">
      <c r="B176">
        <f>VLOOKUP($A176,DATA!$I:$J,2,FALSE)</f>
        <v/>
      </c>
      <c r="C176" s="1">
        <f>SUMIFS(PRINT!$D:$D,PRINT!$B:$B,COMPARISON!A:A,PRINT!H:H,"TRUE")</f>
        <v/>
      </c>
      <c r="D176" s="1">
        <f>SUMIFS(DATA!$K:$K,DATA!$I:$I,COMPARISON!$A:$A)</f>
        <v/>
      </c>
      <c r="E176" s="1">
        <f>C176-D176+G176</f>
        <v/>
      </c>
      <c r="F176" s="1">
        <f>IF($E176=0,"-",IF($E176&gt;0,"OVER","SHORT"))</f>
        <v/>
      </c>
      <c r="G176" s="15" t="n"/>
    </row>
    <row r="177">
      <c r="B177">
        <f>VLOOKUP($A177,DATA!$I:$J,2,FALSE)</f>
        <v/>
      </c>
      <c r="C177" s="1">
        <f>SUMIFS(PRINT!$D:$D,PRINT!$B:$B,COMPARISON!A:A,PRINT!H:H,"TRUE")</f>
        <v/>
      </c>
      <c r="D177" s="1">
        <f>SUMIFS(DATA!$K:$K,DATA!$I:$I,COMPARISON!$A:$A)</f>
        <v/>
      </c>
      <c r="E177" s="1">
        <f>C177-D177+G177</f>
        <v/>
      </c>
      <c r="F177" s="1">
        <f>IF($E177=0,"-",IF($E177&gt;0,"OVER","SHORT"))</f>
        <v/>
      </c>
      <c r="G177" s="15" t="n"/>
    </row>
    <row r="178">
      <c r="B178">
        <f>VLOOKUP($A178,DATA!$I:$J,2,FALSE)</f>
        <v/>
      </c>
      <c r="C178" s="1">
        <f>SUMIFS(PRINT!$D:$D,PRINT!$B:$B,COMPARISON!A:A,PRINT!H:H,"TRUE")</f>
        <v/>
      </c>
      <c r="D178" s="1">
        <f>SUMIFS(DATA!$K:$K,DATA!$I:$I,COMPARISON!$A:$A)</f>
        <v/>
      </c>
      <c r="E178" s="1">
        <f>C178-D178+G178</f>
        <v/>
      </c>
      <c r="F178" s="1">
        <f>IF($E178=0,"-",IF($E178&gt;0,"OVER","SHORT"))</f>
        <v/>
      </c>
      <c r="G178" s="15" t="n"/>
    </row>
    <row r="179">
      <c r="B179">
        <f>VLOOKUP($A179,DATA!$I:$J,2,FALSE)</f>
        <v/>
      </c>
      <c r="C179" s="1">
        <f>SUMIFS(PRINT!$D:$D,PRINT!$B:$B,COMPARISON!A:A,PRINT!H:H,"TRUE")</f>
        <v/>
      </c>
      <c r="D179" s="1">
        <f>SUMIFS(DATA!$K:$K,DATA!$I:$I,COMPARISON!$A:$A)</f>
        <v/>
      </c>
      <c r="E179" s="1">
        <f>C179-D179+G179</f>
        <v/>
      </c>
      <c r="F179" s="1">
        <f>IF($E179=0,"-",IF($E179&gt;0,"OVER","SHORT"))</f>
        <v/>
      </c>
      <c r="G179" s="15" t="n"/>
    </row>
    <row r="180">
      <c r="B180">
        <f>VLOOKUP($A180,DATA!$I:$J,2,FALSE)</f>
        <v/>
      </c>
      <c r="C180" s="1">
        <f>SUMIFS(PRINT!$D:$D,PRINT!$B:$B,COMPARISON!A:A,PRINT!H:H,"TRUE")</f>
        <v/>
      </c>
      <c r="D180" s="1">
        <f>SUMIFS(DATA!$K:$K,DATA!$I:$I,COMPARISON!$A:$A)</f>
        <v/>
      </c>
      <c r="E180" s="1">
        <f>C180-D180+G180</f>
        <v/>
      </c>
      <c r="F180" s="1">
        <f>IF($E180=0,"-",IF($E180&gt;0,"OVER","SHORT"))</f>
        <v/>
      </c>
      <c r="G180" s="15" t="n"/>
    </row>
    <row r="181">
      <c r="B181">
        <f>VLOOKUP($A181,DATA!$I:$J,2,FALSE)</f>
        <v/>
      </c>
      <c r="C181" s="1">
        <f>SUMIFS(PRINT!$D:$D,PRINT!$B:$B,COMPARISON!A:A,PRINT!H:H,"TRUE")</f>
        <v/>
      </c>
      <c r="D181" s="1">
        <f>SUMIFS(DATA!$K:$K,DATA!$I:$I,COMPARISON!$A:$A)</f>
        <v/>
      </c>
      <c r="E181" s="1">
        <f>C181-D181+G181</f>
        <v/>
      </c>
      <c r="F181" s="1">
        <f>IF($E181=0,"-",IF($E181&gt;0,"OVER","SHORT"))</f>
        <v/>
      </c>
      <c r="G181" s="15" t="n"/>
    </row>
    <row r="182">
      <c r="B182">
        <f>VLOOKUP($A182,DATA!$I:$J,2,FALSE)</f>
        <v/>
      </c>
      <c r="C182" s="1">
        <f>SUMIFS(PRINT!$D:$D,PRINT!$B:$B,COMPARISON!A:A,PRINT!H:H,"TRUE")</f>
        <v/>
      </c>
      <c r="D182" s="1">
        <f>SUMIFS(DATA!$K:$K,DATA!$I:$I,COMPARISON!$A:$A)</f>
        <v/>
      </c>
      <c r="E182" s="1">
        <f>C182-D182+G182</f>
        <v/>
      </c>
      <c r="F182" s="1">
        <f>IF($E182=0,"-",IF($E182&gt;0,"OVER","SHORT"))</f>
        <v/>
      </c>
      <c r="G182" s="15" t="n"/>
    </row>
    <row r="183">
      <c r="B183">
        <f>VLOOKUP($A183,DATA!$I:$J,2,FALSE)</f>
        <v/>
      </c>
      <c r="C183" s="1">
        <f>SUMIFS(PRINT!$D:$D,PRINT!$B:$B,COMPARISON!A:A,PRINT!H:H,"TRUE")</f>
        <v/>
      </c>
      <c r="D183" s="1">
        <f>SUMIFS(DATA!$K:$K,DATA!$I:$I,COMPARISON!$A:$A)</f>
        <v/>
      </c>
      <c r="E183" s="1">
        <f>C183-D183+G183</f>
        <v/>
      </c>
      <c r="F183" s="1">
        <f>IF($E183=0,"-",IF($E183&gt;0,"OVER","SHORT"))</f>
        <v/>
      </c>
      <c r="G183" s="15" t="n"/>
    </row>
    <row r="184">
      <c r="B184">
        <f>VLOOKUP($A184,DATA!$I:$J,2,FALSE)</f>
        <v/>
      </c>
      <c r="C184" s="1">
        <f>SUMIFS(PRINT!$D:$D,PRINT!$B:$B,COMPARISON!A:A,PRINT!H:H,"TRUE")</f>
        <v/>
      </c>
      <c r="D184" s="1">
        <f>SUMIFS(DATA!$K:$K,DATA!$I:$I,COMPARISON!$A:$A)</f>
        <v/>
      </c>
      <c r="E184" s="1">
        <f>C184-D184+G184</f>
        <v/>
      </c>
      <c r="F184" s="1">
        <f>IF($E184=0,"-",IF($E184&gt;0,"OVER","SHORT"))</f>
        <v/>
      </c>
      <c r="G184" s="15" t="n"/>
    </row>
    <row r="185">
      <c r="B185">
        <f>VLOOKUP($A185,DATA!$I:$J,2,FALSE)</f>
        <v/>
      </c>
      <c r="C185" s="1">
        <f>SUMIFS(PRINT!$D:$D,PRINT!$B:$B,COMPARISON!A:A,PRINT!H:H,"TRUE")</f>
        <v/>
      </c>
      <c r="D185" s="1">
        <f>SUMIFS(DATA!$K:$K,DATA!$I:$I,COMPARISON!$A:$A)</f>
        <v/>
      </c>
      <c r="E185" s="1">
        <f>C185-D185+G185</f>
        <v/>
      </c>
      <c r="F185" s="1">
        <f>IF($E185=0,"-",IF($E185&gt;0,"OVER","SHORT"))</f>
        <v/>
      </c>
      <c r="G185" s="15" t="n"/>
    </row>
    <row r="186">
      <c r="B186">
        <f>VLOOKUP($A186,DATA!$I:$J,2,FALSE)</f>
        <v/>
      </c>
      <c r="C186" s="1">
        <f>SUMIFS(PRINT!$D:$D,PRINT!$B:$B,COMPARISON!A:A,PRINT!H:H,"TRUE")</f>
        <v/>
      </c>
      <c r="D186" s="1">
        <f>SUMIFS(DATA!$K:$K,DATA!$I:$I,COMPARISON!$A:$A)</f>
        <v/>
      </c>
      <c r="E186" s="1">
        <f>C186-D186+G186</f>
        <v/>
      </c>
      <c r="F186" s="1">
        <f>IF($E186=0,"-",IF($E186&gt;0,"OVER","SHORT"))</f>
        <v/>
      </c>
      <c r="G186" s="15" t="n"/>
    </row>
    <row r="187">
      <c r="B187">
        <f>VLOOKUP($A187,DATA!$I:$J,2,FALSE)</f>
        <v/>
      </c>
      <c r="C187" s="1">
        <f>SUMIFS(PRINT!$D:$D,PRINT!$B:$B,COMPARISON!A:A,PRINT!H:H,"TRUE")</f>
        <v/>
      </c>
      <c r="D187" s="1">
        <f>SUMIFS(DATA!$K:$K,DATA!$I:$I,COMPARISON!$A:$A)</f>
        <v/>
      </c>
      <c r="E187" s="1">
        <f>C187-D187+G187</f>
        <v/>
      </c>
      <c r="F187" s="1">
        <f>IF($E187=0,"-",IF($E187&gt;0,"OVER","SHORT"))</f>
        <v/>
      </c>
      <c r="G187" s="15" t="n"/>
    </row>
    <row r="188">
      <c r="B188">
        <f>VLOOKUP($A188,DATA!$I:$J,2,FALSE)</f>
        <v/>
      </c>
      <c r="C188" s="1">
        <f>SUMIFS(PRINT!$D:$D,PRINT!$B:$B,COMPARISON!A:A,PRINT!H:H,"TRUE")</f>
        <v/>
      </c>
      <c r="D188" s="1">
        <f>SUMIFS(DATA!$K:$K,DATA!$I:$I,COMPARISON!$A:$A)</f>
        <v/>
      </c>
      <c r="E188" s="1">
        <f>C188-D188+G188</f>
        <v/>
      </c>
      <c r="F188" s="1">
        <f>IF($E188=0,"-",IF($E188&gt;0,"OVER","SHORT"))</f>
        <v/>
      </c>
      <c r="G188" s="15" t="n"/>
    </row>
    <row r="189">
      <c r="B189">
        <f>VLOOKUP($A189,DATA!$I:$J,2,FALSE)</f>
        <v/>
      </c>
      <c r="C189" s="1">
        <f>SUMIFS(PRINT!$D:$D,PRINT!$B:$B,COMPARISON!A:A,PRINT!H:H,"TRUE")</f>
        <v/>
      </c>
      <c r="D189" s="1">
        <f>SUMIFS(DATA!$K:$K,DATA!$I:$I,COMPARISON!$A:$A)</f>
        <v/>
      </c>
      <c r="E189" s="1">
        <f>C189-D189+G189</f>
        <v/>
      </c>
      <c r="F189" s="1">
        <f>IF($E189=0,"-",IF($E189&gt;0,"OVER","SHORT"))</f>
        <v/>
      </c>
      <c r="G189" s="15" t="n"/>
    </row>
    <row r="190">
      <c r="B190">
        <f>VLOOKUP($A190,DATA!$I:$J,2,FALSE)</f>
        <v/>
      </c>
      <c r="C190" s="1">
        <f>SUMIFS(PRINT!$D:$D,PRINT!$B:$B,COMPARISON!A:A,PRINT!H:H,"TRUE")</f>
        <v/>
      </c>
      <c r="D190" s="1">
        <f>SUMIFS(DATA!$K:$K,DATA!$I:$I,COMPARISON!$A:$A)</f>
        <v/>
      </c>
      <c r="E190" s="1">
        <f>C190-D190+G190</f>
        <v/>
      </c>
      <c r="F190" s="1">
        <f>IF($E190=0,"-",IF($E190&gt;0,"OVER","SHORT"))</f>
        <v/>
      </c>
      <c r="G190" s="15" t="n"/>
    </row>
    <row r="191">
      <c r="B191">
        <f>VLOOKUP($A191,DATA!$I:$J,2,FALSE)</f>
        <v/>
      </c>
      <c r="C191" s="1">
        <f>SUMIFS(PRINT!$D:$D,PRINT!$B:$B,COMPARISON!A:A,PRINT!H:H,"TRUE")</f>
        <v/>
      </c>
      <c r="D191" s="1">
        <f>SUMIFS(DATA!$K:$K,DATA!$I:$I,COMPARISON!$A:$A)</f>
        <v/>
      </c>
      <c r="E191" s="1">
        <f>C191-D191+G191</f>
        <v/>
      </c>
      <c r="F191" s="1">
        <f>IF($E191=0,"-",IF($E191&gt;0,"OVER","SHORT"))</f>
        <v/>
      </c>
      <c r="G191" s="15" t="n"/>
    </row>
    <row r="192">
      <c r="B192">
        <f>VLOOKUP($A192,DATA!$I:$J,2,FALSE)</f>
        <v/>
      </c>
      <c r="C192" s="1">
        <f>SUMIFS(PRINT!$D:$D,PRINT!$B:$B,COMPARISON!A:A,PRINT!H:H,"TRUE")</f>
        <v/>
      </c>
      <c r="D192" s="1">
        <f>SUMIFS(DATA!$K:$K,DATA!$I:$I,COMPARISON!$A:$A)</f>
        <v/>
      </c>
      <c r="E192" s="1">
        <f>C192-D192+G192</f>
        <v/>
      </c>
      <c r="F192" s="1">
        <f>IF($E192=0,"-",IF($E192&gt;0,"OVER","SHORT"))</f>
        <v/>
      </c>
      <c r="G192" s="15" t="n"/>
    </row>
    <row r="193">
      <c r="B193">
        <f>VLOOKUP($A193,DATA!$I:$J,2,FALSE)</f>
        <v/>
      </c>
      <c r="C193" s="1">
        <f>SUMIFS(PRINT!$D:$D,PRINT!$B:$B,COMPARISON!A:A,PRINT!H:H,"TRUE")</f>
        <v/>
      </c>
      <c r="D193" s="1">
        <f>SUMIFS(DATA!$K:$K,DATA!$I:$I,COMPARISON!$A:$A)</f>
        <v/>
      </c>
      <c r="E193" s="1">
        <f>C193-D193+G193</f>
        <v/>
      </c>
      <c r="F193" s="1">
        <f>IF($E193=0,"-",IF($E193&gt;0,"OVER","SHORT"))</f>
        <v/>
      </c>
      <c r="G193" s="15" t="n"/>
    </row>
    <row r="194">
      <c r="B194">
        <f>VLOOKUP($A194,DATA!$I:$J,2,FALSE)</f>
        <v/>
      </c>
      <c r="C194" s="1">
        <f>SUMIFS(PRINT!$D:$D,PRINT!$B:$B,COMPARISON!A:A,PRINT!H:H,"TRUE")</f>
        <v/>
      </c>
      <c r="D194" s="1">
        <f>SUMIFS(DATA!$K:$K,DATA!$I:$I,COMPARISON!$A:$A)</f>
        <v/>
      </c>
      <c r="E194" s="1">
        <f>C194-D194+G194</f>
        <v/>
      </c>
      <c r="F194" s="1">
        <f>IF($E194=0,"-",IF($E194&gt;0,"OVER","SHORT"))</f>
        <v/>
      </c>
      <c r="G194" s="15" t="n"/>
    </row>
    <row r="195">
      <c r="B195">
        <f>VLOOKUP($A195,DATA!$I:$J,2,FALSE)</f>
        <v/>
      </c>
      <c r="C195" s="1">
        <f>SUMIFS(PRINT!$D:$D,PRINT!$B:$B,COMPARISON!A:A,PRINT!H:H,"TRUE")</f>
        <v/>
      </c>
      <c r="D195" s="1">
        <f>SUMIFS(DATA!$K:$K,DATA!$I:$I,COMPARISON!$A:$A)</f>
        <v/>
      </c>
      <c r="E195" s="1">
        <f>C195-D195+G195</f>
        <v/>
      </c>
      <c r="F195" s="1">
        <f>IF($E195=0,"-",IF($E195&gt;0,"OVER","SHORT"))</f>
        <v/>
      </c>
      <c r="G195" s="15" t="n"/>
    </row>
    <row r="196">
      <c r="B196">
        <f>VLOOKUP($A196,DATA!$I:$J,2,FALSE)</f>
        <v/>
      </c>
      <c r="C196" s="1">
        <f>SUMIFS(PRINT!$D:$D,PRINT!$B:$B,COMPARISON!A:A,PRINT!H:H,"TRUE")</f>
        <v/>
      </c>
      <c r="D196" s="1">
        <f>SUMIFS(DATA!$K:$K,DATA!$I:$I,COMPARISON!$A:$A)</f>
        <v/>
      </c>
      <c r="E196" s="1">
        <f>C196-D196+G196</f>
        <v/>
      </c>
      <c r="F196" s="1">
        <f>IF($E196=0,"-",IF($E196&gt;0,"OVER","SHORT"))</f>
        <v/>
      </c>
      <c r="G196" s="15" t="n"/>
    </row>
    <row r="197">
      <c r="B197">
        <f>VLOOKUP($A197,DATA!$I:$J,2,FALSE)</f>
        <v/>
      </c>
      <c r="C197" s="1">
        <f>SUMIFS(PRINT!$D:$D,PRINT!$B:$B,COMPARISON!A:A,PRINT!H:H,"TRUE")</f>
        <v/>
      </c>
      <c r="D197" s="1">
        <f>SUMIFS(DATA!$K:$K,DATA!$I:$I,COMPARISON!$A:$A)</f>
        <v/>
      </c>
      <c r="E197" s="1">
        <f>C197-D197+G197</f>
        <v/>
      </c>
      <c r="F197" s="1">
        <f>IF($E197=0,"-",IF($E197&gt;0,"OVER","SHORT"))</f>
        <v/>
      </c>
      <c r="G197" s="15" t="n"/>
    </row>
    <row r="198">
      <c r="B198">
        <f>VLOOKUP($A198,DATA!$I:$J,2,FALSE)</f>
        <v/>
      </c>
      <c r="C198" s="1">
        <f>SUMIFS(PRINT!$D:$D,PRINT!$B:$B,COMPARISON!A:A,PRINT!H:H,"TRUE")</f>
        <v/>
      </c>
      <c r="D198" s="1">
        <f>SUMIFS(DATA!$K:$K,DATA!$I:$I,COMPARISON!$A:$A)</f>
        <v/>
      </c>
      <c r="E198" s="1">
        <f>C198-D198+G198</f>
        <v/>
      </c>
      <c r="F198" s="1">
        <f>IF($E198=0,"-",IF($E198&gt;0,"OVER","SHORT"))</f>
        <v/>
      </c>
      <c r="G198" s="15" t="n"/>
    </row>
    <row r="199">
      <c r="B199">
        <f>VLOOKUP($A199,DATA!$I:$J,2,FALSE)</f>
        <v/>
      </c>
      <c r="C199" s="1">
        <f>SUMIFS(PRINT!$D:$D,PRINT!$B:$B,COMPARISON!A:A,PRINT!H:H,"TRUE")</f>
        <v/>
      </c>
      <c r="D199" s="1">
        <f>SUMIFS(DATA!$K:$K,DATA!$I:$I,COMPARISON!$A:$A)</f>
        <v/>
      </c>
      <c r="E199" s="1">
        <f>C199-D199+G199</f>
        <v/>
      </c>
      <c r="F199" s="1">
        <f>IF($E199=0,"-",IF($E199&gt;0,"OVER","SHORT"))</f>
        <v/>
      </c>
      <c r="G199" s="15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2024-02-13T04:51:32Z</dcterms:modified>
  <cp:lastModifiedBy>FDC SAMAR</cp:lastModifiedBy>
  <cp:lastPrinted>2024-02-13T02:07:12Z</cp:lastPrinted>
</cp:coreProperties>
</file>